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inal_Dashboard" sheetId="1" r:id="rId5"/>
    <sheet state="visible" name="Holdings" sheetId="2" r:id="rId6"/>
    <sheet state="visible" name="Chart" sheetId="3" r:id="rId7"/>
    <sheet state="hidden" name="Exec" sheetId="4" r:id="rId8"/>
    <sheet state="visible" name="Daily" sheetId="5" r:id="rId9"/>
    <sheet state="hidden" name="Summary" sheetId="6" r:id="rId10"/>
    <sheet state="hidden" name="Dashboard" sheetId="7" r:id="rId11"/>
    <sheet state="hidden" name="Hidden_Logic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tc={d573962b-f6ac-43a9-8550-48b912219fa7}</author>
  </authors>
  <commentList>
    <comment authorId="0" xr:uid="{d573962b-f6ac-43a9-8550-48b912219fa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sharedStrings.xml><?xml version="1.0" encoding="utf-8"?>
<sst xmlns="http://schemas.openxmlformats.org/spreadsheetml/2006/main" count="334" uniqueCount="144">
  <si>
    <t xml:space="preserve">Cenxi Asset Snapshot </t>
  </si>
  <si>
    <t>隐私开关</t>
  </si>
  <si>
    <t>👁️显示金额</t>
  </si>
  <si>
    <t>说明</t>
  </si>
  <si>
    <t>总资产 USD</t>
  </si>
  <si>
    <t>****</t>
  </si>
  <si>
    <t>7D 变化</t>
  </si>
  <si>
    <t>现金 USD</t>
  </si>
  <si>
    <t>30D 变化</t>
  </si>
  <si>
    <t>黄金 USD</t>
  </si>
  <si>
    <t>数据质量</t>
  </si>
  <si>
    <t>美股 USD</t>
  </si>
  <si>
    <t>口径</t>
  </si>
  <si>
    <t>真值模式</t>
  </si>
  <si>
    <t>最近7天明细</t>
  </si>
  <si>
    <t>日期</t>
  </si>
  <si>
    <t>现金USD</t>
  </si>
  <si>
    <t>黄金USD</t>
  </si>
  <si>
    <t>美股USD</t>
  </si>
  <si>
    <t>总资产USD</t>
  </si>
  <si>
    <t>净值</t>
  </si>
  <si>
    <t>右侧速览</t>
  </si>
  <si>
    <t>最新日期</t>
  </si>
  <si>
    <t>最新净值</t>
  </si>
  <si>
    <t>7D涨跌</t>
  </si>
  <si>
    <t>隐私模式</t>
  </si>
  <si>
    <t>timestamp</t>
  </si>
  <si>
    <t>account</t>
  </si>
  <si>
    <t>symbol</t>
  </si>
  <si>
    <t>name</t>
  </si>
  <si>
    <t>quantity</t>
  </si>
  <si>
    <t>price_usd</t>
  </si>
  <si>
    <t>market_value_usd</t>
  </si>
  <si>
    <t>uSmart</t>
  </si>
  <si>
    <t>NVDA.US</t>
  </si>
  <si>
    <t>NVIDIA Corp.</t>
  </si>
  <si>
    <t>SGOV.US</t>
  </si>
  <si>
    <t>iShares 0-3 Month Treasury Bond ETF</t>
  </si>
  <si>
    <t>TSLA.US</t>
  </si>
  <si>
    <t>Tesla, Inc.</t>
  </si>
  <si>
    <t>QQQ.US</t>
  </si>
  <si>
    <t>NASDAQ 100 ETF</t>
  </si>
  <si>
    <t>CASH</t>
  </si>
  <si>
    <t>现金</t>
  </si>
  <si>
    <t>Alipay</t>
  </si>
  <si>
    <t>GOLD.CN</t>
  </si>
  <si>
    <t>博时黄金ETF联接C(估算USD)</t>
  </si>
  <si>
    <t>date</t>
  </si>
  <si>
    <t>nav</t>
  </si>
  <si>
    <t>数据时间</t>
  </si>
  <si>
    <t>最新可信快照时间</t>
  </si>
  <si>
    <t>最新总资产(USD)</t>
  </si>
  <si>
    <t>来自人工真值+实时汇率</t>
  </si>
  <si>
    <t>更新时间</t>
  </si>
  <si>
    <t>最新总资产(CNY)</t>
  </si>
  <si>
    <t>按当日汇率折算</t>
  </si>
  <si>
    <t>近7天变化(USD)</t>
  </si>
  <si>
    <t>待下一次快照后自动计算</t>
  </si>
  <si>
    <t>最新值-7天前可信值</t>
  </si>
  <si>
    <t>近30天变化(USD)</t>
  </si>
  <si>
    <t>美股账户(USD)</t>
  </si>
  <si>
    <t>黄金(CNY)</t>
  </si>
  <si>
    <t>最新汇率(USD/CNY)</t>
  </si>
  <si>
    <t>数据可信等级</t>
  </si>
  <si>
    <t>最新值-30天前可信值</t>
  </si>
  <si>
    <t>holdings_usd</t>
  </si>
  <si>
    <t>gold_cny</t>
  </si>
  <si>
    <t>fx_usdcny</t>
  </si>
  <si>
    <t>TRUSTED</t>
  </si>
  <si>
    <t>当天实时汇率</t>
  </si>
  <si>
    <t>汇率口径</t>
  </si>
  <si>
    <t>按日期</t>
  </si>
  <si>
    <t>今天实时，历史按日期</t>
  </si>
  <si>
    <t>风险提示</t>
  </si>
  <si>
    <t>稳定</t>
  </si>
  <si>
    <t>手工真值已对齐</t>
  </si>
  <si>
    <t>下一步建议（中性）</t>
  </si>
  <si>
    <t>下一步建议（进攻）</t>
  </si>
  <si>
    <t>备注</t>
  </si>
  <si>
    <t>一句话结论</t>
  </si>
  <si>
    <t>资产更新完成</t>
  </si>
  <si>
    <t>最新版本</t>
  </si>
  <si>
    <t>逐步再平衡</t>
  </si>
  <si>
    <t>仅在信号稳定后加仓</t>
  </si>
  <si>
    <t>若出现SUSPECT点，暂停入图</t>
  </si>
  <si>
    <t>今天实时汇率；历史按日期</t>
  </si>
  <si>
    <t>此页为产品级展示层</t>
  </si>
  <si>
    <t>数据源</t>
  </si>
  <si>
    <t>最后可信时间</t>
  </si>
  <si>
    <t>有效点数</t>
  </si>
  <si>
    <t>剔除点数</t>
  </si>
  <si>
    <t>规则1</t>
  </si>
  <si>
    <t>规则2</t>
  </si>
  <si>
    <t>规则3</t>
  </si>
  <si>
    <t>状态</t>
  </si>
  <si>
    <t>DailyClean/ChartClean</t>
  </si>
  <si>
    <t>quality=OK</t>
  </si>
  <si>
    <t>timestamp非空</t>
  </si>
  <si>
    <t>同日仅1点</t>
  </si>
  <si>
    <t>ACTIVE</t>
  </si>
  <si>
    <t>cash_usd</t>
  </si>
  <si>
    <t>gold_usd</t>
  </si>
  <si>
    <t>stocks_usd</t>
  </si>
  <si>
    <t>total_usd</t>
  </si>
  <si>
    <t>note</t>
  </si>
  <si>
    <t>txn</t>
  </si>
  <si>
    <t>carry</t>
  </si>
  <si>
    <t>anchor</t>
  </si>
  <si>
    <t>calib_dec_jan_no_spike</t>
  </si>
  <si>
    <t>carry-forward</t>
  </si>
  <si>
    <t>fixed_qty+sge:2026-02-02</t>
  </si>
  <si>
    <t>fixed_qty+sge:2026-02-03</t>
  </si>
  <si>
    <t>fixed_qty+sge:2026-02-04</t>
  </si>
  <si>
    <t>fixed_qty+sge:2026-02-05</t>
  </si>
  <si>
    <t>fixed_qty+sge:2026-02-06</t>
  </si>
  <si>
    <t>fixed_qty+sge:2026-02-09</t>
  </si>
  <si>
    <t>fixed_qty+sge:2026-02-10</t>
  </si>
  <si>
    <t>fixed_qty+sge:2026-02-11</t>
  </si>
  <si>
    <t>fixed_qty+sge:2026-02-12</t>
  </si>
  <si>
    <t>fixed_qty+sge:2026-02-13</t>
  </si>
  <si>
    <t>fixed_qty+sge:2026-02-13+xlsx_snapshot</t>
  </si>
  <si>
    <t>资产(USD)</t>
  </si>
  <si>
    <t>Date</t>
  </si>
  <si>
    <t>Total USD</t>
  </si>
  <si>
    <t>Gold USD</t>
  </si>
  <si>
    <t>总资产(USD)</t>
  </si>
  <si>
    <t>现金(USD)</t>
  </si>
  <si>
    <t>股票(USD)</t>
  </si>
  <si>
    <t>基金(USD)</t>
  </si>
  <si>
    <t>黄金(USD)</t>
  </si>
  <si>
    <t>累计增长(USD)</t>
  </si>
  <si>
    <t>累计增长率</t>
  </si>
  <si>
    <t>复利投影(年)</t>
  </si>
  <si>
    <t>10%年化(USD)</t>
  </si>
  <si>
    <t>15%年化(USD)</t>
  </si>
  <si>
    <t>同步与校验</t>
  </si>
  <si>
    <t>Holdings合计(USD)</t>
  </si>
  <si>
    <t>Daily最新总资产(USD)</t>
  </si>
  <si>
    <t>CENXI ASSET INTELLIGENCE · One-Page</t>
  </si>
  <si>
    <t>30D PERFORMANCE</t>
  </si>
  <si>
    <t>NET VALUE</t>
  </si>
  <si>
    <t>total_cny</t>
  </si>
  <si>
    <t>quality_flag</t>
  </si>
  <si>
    <t>trust_flag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</si>
</sst>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%"/>
    <numFmt numFmtId="165" formatCode="yyyy-mm-dd"/>
    <numFmt numFmtId="166" formatCode="yyyy-mm-dd hh:mm:ss"/>
    <numFmt numFmtId="167" formatCode="[&gt;=1000000]0.00,,&quot;M&quot;;0.00"/>
  </numFmts>
  <fonts count="34">
    <font>
      <sz val="10.0"/>
      <color rgb="FF000000"/>
      <name val="Arial"/>
      <scheme val="minor"/>
    </font>
    <font>
      <b/>
      <sz val="32.0"/>
      <color theme="1"/>
      <name val="Arial"/>
    </font>
    <font>
      <color theme="1"/>
      <name val="Arial"/>
      <scheme val="minor"/>
    </font>
    <font>
      <b/>
      <sz val="13.0"/>
      <color rgb="FF444954"/>
      <name val="Arial"/>
    </font>
    <font>
      <sz val="12.0"/>
      <color rgb="FF1E1E21"/>
      <name val="Arial"/>
    </font>
    <font>
      <b/>
      <sz val="13.0"/>
      <color theme="1"/>
      <name val="Arial"/>
    </font>
    <font>
      <b/>
      <sz val="13.0"/>
      <color rgb="FF1E1E21"/>
      <name val="Arial"/>
    </font>
    <font>
      <b/>
      <sz val="13.0"/>
      <color theme="1"/>
      <name val="Arial"/>
      <scheme val="minor"/>
    </font>
    <font>
      <b/>
      <sz val="12.0"/>
      <color theme="1"/>
      <name val="Arial"/>
    </font>
    <font>
      <b/>
      <sz val="12.0"/>
      <color rgb="FF1E1E21"/>
      <name val="Arial"/>
    </font>
    <font>
      <b/>
      <color theme="1"/>
      <name val="Arial"/>
      <scheme val="minor"/>
    </font>
    <font>
      <sz val="11.0"/>
      <color theme="1"/>
      <name val="Arial"/>
    </font>
    <font>
      <sz val="11.0"/>
      <color theme="1"/>
      <name val="Courier New"/>
    </font>
    <font>
      <b/>
      <sz val="12.0"/>
      <color theme="1"/>
      <name val="Arial"/>
      <scheme val="minor"/>
    </font>
    <font>
      <sz val="13.0"/>
      <color rgb="FF1C1C1E"/>
      <name val="Arial"/>
    </font>
    <font>
      <b/>
      <sz val="14.0"/>
      <color rgb="FF1C1C1E"/>
      <name val="Roboto Mono"/>
    </font>
    <font>
      <b/>
      <sz val="13.0"/>
      <color rgb="FF1C1C1E"/>
      <name val="Arial"/>
    </font>
    <font>
      <sz val="12.0"/>
      <color theme="1"/>
      <name val="Arial"/>
    </font>
    <font>
      <b/>
      <sz val="12.0"/>
      <color theme="1"/>
      <name val="Courier New"/>
    </font>
    <font>
      <sz val="10.0"/>
      <color rgb="FF1E1E1E"/>
      <name val="Arial"/>
    </font>
    <font>
      <b/>
      <sz val="10.0"/>
      <color rgb="FF111111"/>
      <name val="Arial"/>
    </font>
    <font>
      <b/>
      <sz val="10.0"/>
      <color rgb="FF1E1E1E"/>
      <name val="Arial"/>
    </font>
    <font>
      <b/>
      <u/>
      <sz val="10.0"/>
      <color rgb="FF1E1E1E"/>
      <name val="Arial"/>
    </font>
    <font>
      <u/>
      <sz val="10.0"/>
      <color rgb="FF1E1E1E"/>
      <name val="Arial"/>
    </font>
    <font>
      <sz val="10.0"/>
      <color rgb="FF1C1C1E"/>
      <name val="Arial"/>
    </font>
    <font>
      <sz val="10.0"/>
      <color rgb="FF191919"/>
      <name val="Courier New"/>
    </font>
    <font>
      <b/>
      <sz val="10.0"/>
      <color rgb="FF191919"/>
      <name val="Arial"/>
    </font>
    <font>
      <b/>
      <sz val="12.0"/>
      <color rgb="FFF7FAFF"/>
      <name val="Arial"/>
      <scheme val="minor"/>
    </font>
    <font>
      <b/>
      <sz val="10.0"/>
      <color rgb="FF191919"/>
      <name val="Roboto"/>
    </font>
    <font>
      <b/>
      <sz val="13.0"/>
      <color theme="1"/>
      <name val="Roboto Mono"/>
    </font>
    <font>
      <sz val="10.0"/>
      <color rgb="FF1C1C1E"/>
      <name val="Roboto"/>
    </font>
    <font>
      <sz val="10.0"/>
      <color rgb="FF191919"/>
      <name val="Roboto"/>
    </font>
    <font>
      <sz val="10.0"/>
      <color rgb="FF191919"/>
      <name val="Roboto Mono"/>
    </font>
    <font>
      <sz val="10.0"/>
      <color rgb="FF1C1C1E"/>
      <name val="Roboto Mono"/>
    </font>
  </fonts>
  <fills count="12">
    <fill>
      <patternFill patternType="none"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horizontal="left" readingOrder="0" shrinkToFit="0" vertical="center" wrapText="0"/>
    </xf>
    <xf borderId="0" fillId="4" fontId="4" numFmtId="0" xfId="0" applyAlignment="1" applyFill="1" applyFont="1">
      <alignment horizontal="left" readingOrder="0" shrinkToFit="0" vertical="center" wrapText="0"/>
    </xf>
    <xf borderId="0" fillId="3" fontId="3" numFmtId="4" xfId="0" applyAlignment="1" applyFont="1" applyNumberFormat="1">
      <alignment horizontal="right" readingOrder="0" shrinkToFit="0" vertical="center" wrapText="0"/>
    </xf>
    <xf borderId="0" fillId="3" fontId="3" numFmtId="0" xfId="0" applyAlignment="1" applyFont="1">
      <alignment horizontal="right" readingOrder="0" shrinkToFit="0" vertical="center" wrapText="0"/>
    </xf>
    <xf borderId="0" fillId="3" fontId="3" numFmtId="10" xfId="0" applyAlignment="1" applyFont="1" applyNumberFormat="1">
      <alignment horizontal="right" readingOrder="0" shrinkToFit="0" vertical="center" wrapText="0"/>
    </xf>
    <xf borderId="0" fillId="4" fontId="4" numFmtId="0" xfId="0" applyAlignment="1" applyFont="1">
      <alignment horizontal="left" shrinkToFit="0" vertical="center" wrapText="0"/>
    </xf>
    <xf borderId="0" fillId="3" fontId="3" numFmtId="4" xfId="0" applyAlignment="1" applyFont="1" applyNumberFormat="1">
      <alignment horizontal="left" readingOrder="0" shrinkToFit="0" vertical="center" wrapText="0"/>
    </xf>
    <xf borderId="0" fillId="3" fontId="3" numFmtId="10" xfId="0" applyAlignment="1" applyFont="1" applyNumberFormat="1">
      <alignment horizontal="right" readingOrder="0" shrinkToFit="0" vertical="center" wrapText="0"/>
    </xf>
    <xf borderId="0" fillId="2" fontId="5" numFmtId="0" xfId="0" applyAlignment="1" applyFont="1">
      <alignment horizontal="left" readingOrder="0" shrinkToFit="0" vertical="center" wrapText="0"/>
    </xf>
    <xf borderId="1" fillId="5" fontId="6" numFmtId="0" xfId="0" applyAlignment="1" applyBorder="1" applyFill="1" applyFont="1">
      <alignment horizontal="left" readingOrder="0" shrinkToFit="0" vertical="center" wrapText="0"/>
    </xf>
    <xf borderId="1" fillId="5" fontId="7" numFmtId="0" xfId="0" applyAlignment="1" applyBorder="1" applyFont="1">
      <alignment horizontal="left"/>
    </xf>
    <xf borderId="1" fillId="5" fontId="7" numFmtId="164" xfId="0" applyAlignment="1" applyBorder="1" applyFont="1" applyNumberFormat="1">
      <alignment horizontal="left"/>
    </xf>
    <xf borderId="0" fillId="6" fontId="8" numFmtId="0" xfId="0" applyAlignment="1" applyFill="1" applyFont="1">
      <alignment horizontal="right" readingOrder="0" shrinkToFit="0" vertical="center" wrapText="0"/>
    </xf>
    <xf borderId="0" fillId="6" fontId="8" numFmtId="4" xfId="0" applyAlignment="1" applyFont="1" applyNumberFormat="1">
      <alignment horizontal="right" readingOrder="0" shrinkToFit="0" vertical="center" wrapText="0"/>
    </xf>
    <xf borderId="0" fillId="6" fontId="8" numFmtId="0" xfId="0" applyAlignment="1" applyFont="1">
      <alignment horizontal="left" readingOrder="0" shrinkToFit="0" vertical="center" wrapText="0"/>
    </xf>
    <xf borderId="0" fillId="4" fontId="4" numFmtId="0" xfId="0" applyAlignment="1" applyFont="1">
      <alignment horizontal="right" readingOrder="0" shrinkToFit="0" vertical="center" wrapText="0"/>
    </xf>
    <xf borderId="1" fillId="7" fontId="9" numFmtId="0" xfId="0" applyAlignment="1" applyBorder="1" applyFill="1" applyFont="1">
      <alignment horizontal="center" readingOrder="0" shrinkToFit="0" vertical="center" wrapText="0"/>
    </xf>
    <xf borderId="1" fillId="7" fontId="10" numFmtId="0" xfId="0" applyAlignment="1" applyBorder="1" applyFont="1">
      <alignment horizontal="center" readingOrder="0"/>
    </xf>
    <xf borderId="0" fillId="4" fontId="11" numFmtId="165" xfId="0" applyAlignment="1" applyFont="1" applyNumberFormat="1">
      <alignment horizontal="left" readingOrder="0" shrinkToFit="0" vertical="center" wrapText="0"/>
    </xf>
    <xf borderId="0" fillId="4" fontId="12" numFmtId="4" xfId="0" applyAlignment="1" applyFont="1" applyNumberFormat="1">
      <alignment horizontal="right" readingOrder="0" shrinkToFit="0" vertical="center" wrapText="0"/>
    </xf>
    <xf borderId="1" fillId="4" fontId="4" numFmtId="165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right"/>
    </xf>
    <xf borderId="1" fillId="0" fontId="2" numFmtId="164" xfId="0" applyAlignment="1" applyBorder="1" applyFont="1" applyNumberFormat="1">
      <alignment horizontal="right"/>
    </xf>
    <xf borderId="1" fillId="0" fontId="2" numFmtId="2" xfId="0" applyAlignment="1" applyBorder="1" applyFont="1" applyNumberFormat="1">
      <alignment horizontal="right"/>
    </xf>
    <xf borderId="0" fillId="4" fontId="4" numFmtId="165" xfId="0" applyAlignment="1" applyFont="1" applyNumberFormat="1">
      <alignment horizontal="left" readingOrder="0" shrinkToFit="0" vertical="center" wrapText="0"/>
    </xf>
    <xf borderId="0" fillId="4" fontId="4" numFmtId="4" xfId="0" applyAlignment="1" applyFont="1" applyNumberFormat="1">
      <alignment horizontal="right" readingOrder="0" shrinkToFit="0" vertical="center" wrapText="0"/>
    </xf>
    <xf borderId="0" fillId="4" fontId="4" numFmtId="4" xfId="0" applyAlignment="1" applyFont="1" applyNumberFormat="1">
      <alignment horizontal="left" readingOrder="0" shrinkToFit="0" vertical="center" wrapText="0"/>
    </xf>
    <xf borderId="1" fillId="5" fontId="9" numFmtId="0" xfId="0" applyAlignment="1" applyBorder="1" applyFont="1">
      <alignment horizontal="left" readingOrder="0" shrinkToFit="0" vertical="center" wrapText="0"/>
    </xf>
    <xf borderId="1" fillId="5" fontId="13" numFmtId="0" xfId="0" applyBorder="1" applyFont="1"/>
    <xf borderId="0" fillId="4" fontId="4" numFmtId="4" xfId="0" applyAlignment="1" applyFont="1" applyNumberFormat="1">
      <alignment horizontal="left" readingOrder="0" shrinkToFit="0" vertical="center" wrapText="0"/>
    </xf>
    <xf borderId="1" fillId="4" fontId="9" numFmtId="0" xfId="0" applyAlignment="1" applyBorder="1" applyFont="1">
      <alignment horizontal="center" readingOrder="0" shrinkToFit="0" vertical="center" wrapText="0"/>
    </xf>
    <xf borderId="1" fillId="0" fontId="10" numFmtId="165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/>
    </xf>
    <xf borderId="1" fillId="0" fontId="10" numFmtId="2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0" fillId="4" fontId="4" numFmtId="0" xfId="0" applyAlignment="1" applyFont="1">
      <alignment horizontal="left" readingOrder="0" shrinkToFit="0" vertical="center" wrapText="0"/>
    </xf>
    <xf borderId="1" fillId="4" fontId="4" numFmtId="0" xfId="0" applyAlignment="1" applyBorder="1" applyFont="1">
      <alignment horizontal="left" shrinkToFit="0" vertical="center" wrapText="0"/>
    </xf>
    <xf borderId="1" fillId="0" fontId="2" numFmtId="0" xfId="0" applyBorder="1" applyFont="1"/>
    <xf borderId="0" fillId="4" fontId="4" numFmtId="4" xfId="0" applyAlignment="1" applyFont="1" applyNumberFormat="1">
      <alignment horizontal="right" shrinkToFit="0" vertical="center" wrapText="0"/>
    </xf>
    <xf borderId="0" fillId="4" fontId="4" numFmtId="4" xfId="0" applyAlignment="1" applyFont="1" applyNumberFormat="1">
      <alignment horizontal="left" shrinkToFit="0" vertical="center" wrapText="0"/>
    </xf>
    <xf borderId="0" fillId="8" fontId="14" numFmtId="0" xfId="0" applyAlignment="1" applyFill="1" applyFont="1">
      <alignment horizontal="left" shrinkToFit="0" vertical="center" wrapText="0"/>
    </xf>
    <xf borderId="0" fillId="8" fontId="15" numFmtId="4" xfId="0" applyAlignment="1" applyFont="1" applyNumberFormat="1">
      <alignment horizontal="right" shrinkToFit="0" vertical="center" wrapText="0"/>
    </xf>
    <xf borderId="0" fillId="4" fontId="16" numFmtId="4" xfId="0" applyAlignment="1" applyFont="1" applyNumberFormat="1">
      <alignment horizontal="left" shrinkToFit="0" vertical="center" wrapText="0"/>
    </xf>
    <xf borderId="0" fillId="4" fontId="16" numFmtId="0" xfId="0" applyAlignment="1" applyFont="1">
      <alignment horizontal="left" shrinkToFit="0" vertical="center" wrapText="0"/>
    </xf>
    <xf borderId="0" fillId="4" fontId="14" numFmtId="0" xfId="0" applyAlignment="1" applyFont="1">
      <alignment horizontal="left" shrinkToFit="0" vertical="center" wrapText="0"/>
    </xf>
    <xf borderId="0" fillId="4" fontId="17" numFmtId="0" xfId="0" applyAlignment="1" applyFont="1">
      <alignment shrinkToFit="0" vertical="center" wrapText="0"/>
    </xf>
    <xf borderId="0" fillId="4" fontId="18" numFmtId="4" xfId="0" applyAlignment="1" applyFont="1" applyNumberFormat="1">
      <alignment horizontal="right" shrinkToFit="0" vertical="center" wrapText="0"/>
    </xf>
    <xf borderId="0" fillId="4" fontId="18" numFmtId="0" xfId="0" applyAlignment="1" applyFont="1">
      <alignment horizontal="right" shrinkToFit="0" vertical="center" wrapText="1"/>
    </xf>
    <xf borderId="0" fillId="4" fontId="19" numFmtId="0" xfId="0" applyAlignment="1" applyFont="1">
      <alignment shrinkToFit="0" vertical="center" wrapText="1"/>
    </xf>
    <xf borderId="0" fillId="2" fontId="20" numFmtId="0" xfId="0" applyAlignment="1" applyFont="1">
      <alignment horizontal="left" readingOrder="0" shrinkToFit="0" vertical="center" wrapText="1"/>
    </xf>
    <xf borderId="0" fillId="4" fontId="21" numFmtId="0" xfId="0" applyAlignment="1" applyFont="1">
      <alignment horizontal="left" shrinkToFit="0" vertical="center" wrapText="1"/>
    </xf>
    <xf borderId="0" fillId="4" fontId="21" numFmtId="0" xfId="0" applyAlignment="1" applyFont="1">
      <alignment horizontal="left" readingOrder="0" shrinkToFit="0" vertical="center" wrapText="1"/>
    </xf>
    <xf borderId="0" fillId="4" fontId="21" numFmtId="166" xfId="0" applyAlignment="1" applyFont="1" applyNumberFormat="1">
      <alignment horizontal="left" readingOrder="0" shrinkToFit="0" vertical="center" wrapText="1"/>
    </xf>
    <xf borderId="0" fillId="4" fontId="22" numFmtId="0" xfId="0" applyAlignment="1" applyFont="1">
      <alignment horizontal="left" readingOrder="0" shrinkToFit="0" vertical="center" wrapText="1"/>
    </xf>
    <xf borderId="0" fillId="4" fontId="21" numFmtId="4" xfId="0" applyAlignment="1" applyFont="1" applyNumberFormat="1">
      <alignment horizontal="right" readingOrder="0" shrinkToFit="0" vertical="center" wrapText="1"/>
    </xf>
    <xf borderId="0" fillId="4" fontId="21" numFmtId="165" xfId="0" applyAlignment="1" applyFont="1" applyNumberFormat="1">
      <alignment horizontal="left" readingOrder="0" shrinkToFit="0" vertical="center" wrapText="1"/>
    </xf>
    <xf borderId="0" fillId="4" fontId="21" numFmtId="0" xfId="0" applyAlignment="1" applyFont="1">
      <alignment horizontal="left" readingOrder="0" shrinkToFit="0" vertical="center" wrapText="1"/>
    </xf>
    <xf borderId="0" fillId="4" fontId="19" numFmtId="166" xfId="0" applyAlignment="1" applyFont="1" applyNumberFormat="1">
      <alignment horizontal="left" readingOrder="0" shrinkToFit="0" vertical="center" wrapText="1"/>
    </xf>
    <xf borderId="0" fillId="4" fontId="19" numFmtId="0" xfId="0" applyAlignment="1" applyFont="1">
      <alignment horizontal="left" readingOrder="0" shrinkToFit="0" vertical="center" wrapText="1"/>
    </xf>
    <xf borderId="0" fillId="4" fontId="23" numFmtId="0" xfId="0" applyAlignment="1" applyFont="1">
      <alignment horizontal="left" readingOrder="0" shrinkToFit="0" vertical="center" wrapText="1"/>
    </xf>
    <xf borderId="0" fillId="4" fontId="19" numFmtId="4" xfId="0" applyAlignment="1" applyFont="1" applyNumberFormat="1">
      <alignment horizontal="right" readingOrder="0" shrinkToFit="0" vertical="center" wrapText="1"/>
    </xf>
    <xf borderId="0" fillId="4" fontId="19" numFmtId="4" xfId="0" applyAlignment="1" applyFont="1" applyNumberFormat="1">
      <alignment horizontal="right" shrinkToFit="0" vertical="center" wrapText="1"/>
    </xf>
    <xf borderId="0" fillId="4" fontId="19" numFmtId="0" xfId="0" applyAlignment="1" applyFont="1">
      <alignment horizontal="left" shrinkToFit="0" vertical="center" wrapText="1"/>
    </xf>
    <xf borderId="0" fillId="4" fontId="19" numFmtId="165" xfId="0" applyAlignment="1" applyFont="1" applyNumberFormat="1">
      <alignment horizontal="left" readingOrder="0" shrinkToFit="0" vertical="center" wrapText="1"/>
    </xf>
    <xf borderId="0" fillId="4" fontId="19" numFmtId="0" xfId="0" applyAlignment="1" applyFont="1">
      <alignment horizontal="left" readingOrder="0" shrinkToFit="0" vertical="center" wrapText="1"/>
    </xf>
    <xf borderId="0" fillId="4" fontId="24" numFmtId="0" xfId="0" applyAlignment="1" applyFont="1">
      <alignment horizontal="left" vertical="center"/>
    </xf>
    <xf borderId="0" fillId="4" fontId="25" numFmtId="4" xfId="0" applyAlignment="1" applyFont="1" applyNumberFormat="1">
      <alignment horizontal="right" vertical="center"/>
    </xf>
    <xf borderId="0" fillId="4" fontId="24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2" numFmtId="4" xfId="0" applyFont="1" applyNumberFormat="1"/>
    <xf borderId="0" fillId="4" fontId="21" numFmtId="0" xfId="0" applyAlignment="1" applyFont="1">
      <alignment shrinkToFit="0" vertical="center" wrapText="1"/>
    </xf>
    <xf borderId="0" fillId="2" fontId="26" numFmtId="0" xfId="0" applyAlignment="1" applyFont="1">
      <alignment horizontal="left" vertical="center"/>
    </xf>
    <xf borderId="0" fillId="9" fontId="10" numFmtId="0" xfId="0" applyFill="1" applyFont="1"/>
    <xf borderId="0" fillId="2" fontId="26" numFmtId="0" xfId="0" applyAlignment="1" applyFont="1">
      <alignment horizontal="left" readingOrder="0" vertical="center"/>
    </xf>
    <xf borderId="0" fillId="2" fontId="26" numFmtId="166" xfId="0" applyAlignment="1" applyFont="1" applyNumberFormat="1">
      <alignment horizontal="left" readingOrder="0" vertical="center"/>
    </xf>
    <xf borderId="0" fillId="7" fontId="2" numFmtId="0" xfId="0" applyFont="1"/>
    <xf borderId="0" fillId="4" fontId="24" numFmtId="0" xfId="0" applyAlignment="1" applyFont="1">
      <alignment horizontal="left" readingOrder="0" vertical="center"/>
    </xf>
    <xf borderId="0" fillId="4" fontId="25" numFmtId="4" xfId="0" applyAlignment="1" applyFont="1" applyNumberFormat="1">
      <alignment horizontal="right" readingOrder="0" vertical="center"/>
    </xf>
    <xf borderId="0" fillId="4" fontId="2" numFmtId="0" xfId="0" applyFont="1"/>
    <xf borderId="0" fillId="2" fontId="26" numFmtId="165" xfId="0" applyAlignment="1" applyFont="1" applyNumberFormat="1">
      <alignment horizontal="left" readingOrder="0" vertical="center"/>
    </xf>
    <xf borderId="0" fillId="2" fontId="26" numFmtId="4" xfId="0" applyAlignment="1" applyFont="1" applyNumberFormat="1">
      <alignment horizontal="left" readingOrder="0" vertical="center"/>
    </xf>
    <xf borderId="0" fillId="2" fontId="26" numFmtId="4" xfId="0" applyAlignment="1" applyFont="1" applyNumberFormat="1">
      <alignment horizontal="right" readingOrder="0" vertical="center"/>
    </xf>
    <xf borderId="0" fillId="2" fontId="26" numFmtId="2" xfId="0" applyAlignment="1" applyFont="1" applyNumberFormat="1">
      <alignment horizontal="right" readingOrder="0" vertical="center"/>
    </xf>
    <xf borderId="0" fillId="2" fontId="26" numFmtId="0" xfId="0" applyAlignment="1" applyFont="1">
      <alignment horizontal="left" readingOrder="0" vertical="center"/>
    </xf>
    <xf borderId="0" fillId="4" fontId="24" numFmtId="165" xfId="0" applyAlignment="1" applyFont="1" applyNumberFormat="1">
      <alignment horizontal="left" readingOrder="0" vertical="center"/>
    </xf>
    <xf borderId="0" fillId="4" fontId="25" numFmtId="2" xfId="0" applyAlignment="1" applyFont="1" applyNumberFormat="1">
      <alignment horizontal="right" readingOrder="0" vertical="center"/>
    </xf>
    <xf borderId="0" fillId="4" fontId="24" numFmtId="165" xfId="0" applyAlignment="1" applyFont="1" applyNumberFormat="1">
      <alignment horizontal="left" readingOrder="0" vertical="center"/>
    </xf>
    <xf borderId="0" fillId="4" fontId="24" numFmtId="0" xfId="0" applyAlignment="1" applyFont="1">
      <alignment horizontal="left" readingOrder="0" vertical="center"/>
    </xf>
    <xf borderId="0" fillId="4" fontId="25" numFmtId="2" xfId="0" applyAlignment="1" applyFont="1" applyNumberFormat="1">
      <alignment horizontal="right" vertical="center"/>
    </xf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2" fontId="26" numFmtId="165" xfId="0" applyAlignment="1" applyFont="1" applyNumberFormat="1">
      <alignment horizontal="left" vertical="center"/>
    </xf>
    <xf borderId="0" fillId="0" fontId="2" numFmtId="0" xfId="0" applyFont="1"/>
    <xf borderId="0" fillId="4" fontId="24" numFmtId="4" xfId="0" applyAlignment="1" applyFont="1" applyNumberFormat="1">
      <alignment horizontal="left" vertical="center"/>
    </xf>
    <xf borderId="0" fillId="4" fontId="24" numFmtId="10" xfId="0" applyAlignment="1" applyFont="1" applyNumberFormat="1">
      <alignment horizontal="left" vertical="center"/>
    </xf>
    <xf borderId="0" fillId="4" fontId="24" numFmtId="4" xfId="0" applyAlignment="1" applyFont="1" applyNumberFormat="1">
      <alignment horizontal="left" readingOrder="0" vertical="center"/>
    </xf>
    <xf borderId="0" fillId="4" fontId="24" numFmtId="0" xfId="0" applyAlignment="1" applyFont="1">
      <alignment horizontal="left" readingOrder="0" vertical="center"/>
    </xf>
    <xf borderId="0" fillId="10" fontId="27" numFmtId="0" xfId="0" applyAlignment="1" applyFill="1" applyFont="1">
      <alignment horizontal="center" readingOrder="0" vertical="center"/>
    </xf>
    <xf borderId="0" fillId="2" fontId="28" numFmtId="0" xfId="0" applyAlignment="1" applyFont="1">
      <alignment horizontal="left" vertical="center"/>
    </xf>
    <xf borderId="0" fillId="2" fontId="28" numFmtId="0" xfId="0" applyAlignment="1" applyFont="1">
      <alignment horizontal="left" readingOrder="0" vertical="center"/>
    </xf>
    <xf borderId="0" fillId="11" fontId="29" numFmtId="0" xfId="0" applyAlignment="1" applyFill="1" applyFont="1">
      <alignment horizontal="right" readingOrder="0" vertical="center"/>
    </xf>
    <xf borderId="0" fillId="11" fontId="29" numFmtId="0" xfId="0" applyAlignment="1" applyFont="1">
      <alignment horizontal="right" vertical="center"/>
    </xf>
    <xf borderId="0" fillId="4" fontId="30" numFmtId="0" xfId="0" applyAlignment="1" applyFont="1">
      <alignment horizontal="left" readingOrder="0" vertical="center"/>
    </xf>
    <xf borderId="0" fillId="11" fontId="29" numFmtId="167" xfId="0" applyAlignment="1" applyFont="1" applyNumberFormat="1">
      <alignment horizontal="right" vertical="center"/>
    </xf>
    <xf borderId="0" fillId="11" fontId="29" numFmtId="4" xfId="0" applyAlignment="1" applyFont="1" applyNumberFormat="1">
      <alignment horizontal="right" readingOrder="0" vertical="center"/>
    </xf>
    <xf borderId="0" fillId="4" fontId="30" numFmtId="0" xfId="0" applyAlignment="1" applyFont="1">
      <alignment horizontal="left" vertical="center"/>
    </xf>
    <xf borderId="0" fillId="3" fontId="2" numFmtId="0" xfId="0" applyFont="1"/>
    <xf borderId="0" fillId="4" fontId="31" numFmtId="4" xfId="0" applyAlignment="1" applyFont="1" applyNumberFormat="1">
      <alignment horizontal="right" vertical="center"/>
    </xf>
    <xf borderId="0" fillId="4" fontId="32" numFmtId="4" xfId="0" applyAlignment="1" applyFont="1" applyNumberFormat="1">
      <alignment horizontal="right" vertical="center"/>
    </xf>
    <xf borderId="0" fillId="4" fontId="33" numFmtId="4" xfId="0" applyAlignment="1" applyFont="1" applyNumberFormat="1">
      <alignment horizontal="right" vertical="center"/>
    </xf>
    <xf borderId="0" fillId="3" fontId="30" numFmtId="0" xfId="0" applyAlignment="1" applyFont="1">
      <alignment horizontal="left" vertical="center"/>
    </xf>
    <xf borderId="0" fillId="3" fontId="31" numFmtId="4" xfId="0" applyAlignment="1" applyFont="1" applyNumberFormat="1">
      <alignment horizontal="right" vertical="center"/>
    </xf>
    <xf borderId="0" fillId="3" fontId="32" numFmtId="4" xfId="0" applyAlignment="1" applyFont="1" applyNumberFormat="1">
      <alignment horizontal="right" vertical="center"/>
    </xf>
    <xf borderId="0" fillId="3" fontId="33" numFmtId="4" xfId="0" applyAlignment="1" applyFont="1" applyNumberFormat="1">
      <alignment horizontal="right" vertical="center"/>
    </xf>
    <xf borderId="0" fillId="4" fontId="25" numFmtId="4" xfId="0" applyAlignment="1" applyFont="1" applyNumberFormat="1">
      <alignment horizontal="right" vertical="center"/>
    </xf>
    <xf borderId="0" fillId="3" fontId="24" numFmtId="0" xfId="0" applyAlignment="1" applyFont="1">
      <alignment horizontal="left" vertical="center"/>
    </xf>
    <xf borderId="0" fillId="3" fontId="25" numFmtId="4" xfId="0" applyAlignment="1" applyFont="1" applyNumberFormat="1">
      <alignment horizontal="right" vertical="center"/>
    </xf>
  </cellXfs>
  <cellStyles count="1">
    <cellStyle xfId="0" name="Normal" builtinId="0"/>
  </cellStyles>
  <dxfs count="5">
    <dxf>
      <font>
        <color rgb="FF00C27C"/>
      </font>
      <fill>
        <patternFill patternType="none"/>
      </fill>
      <border/>
    </dxf>
    <dxf>
      <font>
        <color rgb="FFF04437"/>
      </font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>
    <tableStyle count="2" pivot="0" name="Holdings-style">
      <tableStyleElement dxfId="3" type="firstRowStripe"/>
      <tableStyleElement dxfId="4" type="secondRowStripe"/>
    </tableStyle>
    <tableStyle count="2" pivot="0" name="Chart-style">
      <tableStyleElement dxfId="3" type="firstRowStripe"/>
      <tableStyleElement dxfId="4" type="secondRowStripe"/>
    </tableStyle>
    <tableStyle count="2" pivot="0" name="Exec-style">
      <tableStyleElement dxfId="3" type="firstRowStripe"/>
      <tableStyleElement dxfId="4" type="secondRowStripe"/>
    </tableStyle>
    <tableStyle count="2" pivot="0" name="Daily-style">
      <tableStyleElement dxfId="3" type="firstRowStripe"/>
      <tableStyleElement dxfId="4" type="secondRowStripe"/>
    </tableStyle>
    <tableStyle count="2" pivot="0" name="Summary-style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16191E"/>
                </a:solidFill>
                <a:latin typeface="Arial"/>
              </a:defRPr>
            </a:pPr>
            <a:r>
              <a:rPr b="1" sz="1400">
                <a:solidFill>
                  <a:srgbClr val="16191E"/>
                </a:solidFill>
                <a:latin typeface="Arial"/>
              </a:rPr>
              <a:t>总资产净值曲线</a:t>
            </a:r>
          </a:p>
        </c:rich>
      </c:tx>
      <c:layout>
        <c:manualLayout>
          <c:xMode val="edge"/>
          <c:yMode val="edge"/>
          <c:x val="0.020731707317073172"/>
          <c:y val="0.05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Chart!$B$1</c:f>
            </c:strRef>
          </c:tx>
          <c:spPr>
            <a:ln cmpd="sng">
              <a:solidFill>
                <a:srgbClr val="0A84FF"/>
              </a:solidFill>
            </a:ln>
          </c:spPr>
          <c:marker>
            <c:symbol val="none"/>
          </c:marker>
          <c:cat>
            <c:strRef>
              <c:f>Chart!$A$2:$A$1002</c:f>
            </c:strRef>
          </c:cat>
          <c:val>
            <c:numRef>
              <c:f>Chart!$B$2:$B$1002</c:f>
              <c:numCache/>
            </c:numRef>
          </c:val>
          <c:smooth val="1"/>
        </c:ser>
        <c:axId val="332780062"/>
        <c:axId val="39086241"/>
      </c:lineChart>
      <c:catAx>
        <c:axId val="332780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39086241"/>
      </c:catAx>
      <c:valAx>
        <c:axId val="39086241"/>
        <c:scaling>
          <c:orientation val="minMax"/>
          <c:max val="1.28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332780062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Chart!$A$3:$A$1002</c:f>
            </c:strRef>
          </c:cat>
          <c:val>
            <c:numRef>
              <c:f>Chart!$B$3:$B$1002</c:f>
              <c:numCache/>
            </c:numRef>
          </c:val>
          <c:smooth val="0"/>
        </c:ser>
        <c:axId val="784511714"/>
        <c:axId val="80067162"/>
      </c:lineChart>
      <c:catAx>
        <c:axId val="7845117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0067162"/>
      </c:catAx>
      <c:valAx>
        <c:axId val="80067162"/>
        <c:scaling>
          <c:orientation val="minMax"/>
          <c:max val="5108.32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8451171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191919"/>
                </a:solidFill>
                <a:latin typeface="Roboto"/>
              </a:defRPr>
            </a:pPr>
            <a:r>
              <a:rPr b="1" sz="1600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Summary!$B$11</c:f>
            </c:strRef>
          </c:tx>
          <c:spPr>
            <a:ln cmpd="sng">
              <a:solidFill>
                <a:srgbClr val="236BE5"/>
              </a:solidFill>
            </a:ln>
          </c:spPr>
          <c:marker>
            <c:symbol val="none"/>
          </c:marker>
          <c:cat>
            <c:strRef>
              <c:f>Summary!$A$12:$A$32</c:f>
            </c:strRef>
          </c:cat>
          <c:val>
            <c:numRef>
              <c:f>Summary!$B$12:$B$32</c:f>
              <c:numCache/>
            </c:numRef>
          </c:val>
          <c:smooth val="1"/>
        </c:ser>
        <c:ser>
          <c:idx val="1"/>
          <c:order val="1"/>
          <c:tx>
            <c:strRef>
              <c:f>Summary!$C$11</c:f>
            </c:strRef>
          </c:tx>
          <c:spPr>
            <a:ln cmpd="sng">
              <a:solidFill>
                <a:srgbClr val="DB332D"/>
              </a:solidFill>
            </a:ln>
          </c:spPr>
          <c:marker>
            <c:symbol val="none"/>
          </c:marker>
          <c:cat>
            <c:strRef>
              <c:f>Summary!$A$12:$A$32</c:f>
            </c:strRef>
          </c:cat>
          <c:val>
            <c:numRef>
              <c:f>Summary!$C$12:$C$32</c:f>
              <c:numCache/>
            </c:numRef>
          </c:val>
          <c:smooth val="1"/>
        </c:ser>
        <c:axId val="1087756492"/>
        <c:axId val="2131942356"/>
      </c:lineChart>
      <c:catAx>
        <c:axId val="1087756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942356"/>
      </c:catAx>
      <c:valAx>
        <c:axId val="21319423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775649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documenttasks/documenttask1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28575</xdr:rowOff>
    </xdr:from>
    <xdr:ext cx="8382000" cy="3686175"/>
    <xdr:graphicFrame>
      <xdr:nvGraphicFramePr>
        <xdr:cNvPr id="1" name="Chart 1" title="总资产净值曲线（Apple 极简）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54</xdr:row>
      <xdr:rowOff>180975</xdr:rowOff>
    </xdr:from>
    <xdr:ext cx="6572250" cy="4467225"/>
    <xdr:graphicFrame>
      <xdr:nvGraphicFramePr>
        <xdr:cNvPr id="2" name="Chart 2" title="总资产走势（ChartClean已锁定）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38</xdr:row>
      <xdr:rowOff>9525</xdr:rowOff>
    </xdr:from>
    <xdr:ext cx="3981450" cy="2124075"/>
    <xdr:graphicFrame>
      <xdr:nvGraphicFramePr>
        <xdr:cNvPr id="3" name="Chart 3" title="10年/20年复利投影（USD）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zcx" id="{11102d4f-30c3-42bb-bcb3-94e4ec8c25f8}" providerId="google-sheets"/>
</x18tc:personList>
</file>

<file path=xl/tables/table1.xml><?xml version="1.0" encoding="utf-8"?>
<table xmlns="http://schemas.openxmlformats.org/spreadsheetml/2006/main" headerRowCount="0" ref="A3:L260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Holdings-style" showColumnStripes="0" showFirstColumn="1" showLastColumn="1" showRowStripes="1"/>
</table>
</file>

<file path=xl/tables/table2.xml><?xml version="1.0" encoding="utf-8"?>
<table xmlns="http://schemas.openxmlformats.org/spreadsheetml/2006/main" headerRowCount="0" ref="A3:L260" displayName="Table_2" name="Table_2" id="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Chart-style" showColumnStripes="0" showFirstColumn="1" showLastColumn="1" showRowStripes="1"/>
</table>
</file>

<file path=xl/tables/table3.xml><?xml version="1.0" encoding="utf-8"?>
<table xmlns="http://schemas.openxmlformats.org/spreadsheetml/2006/main" headerRowCount="0" ref="A3:L260" displayName="Table_3" name="Table_3" id="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xec-style" showColumnStripes="0" showFirstColumn="1" showLastColumn="1" showRowStripes="1"/>
</table>
</file>

<file path=xl/tables/table4.xml><?xml version="1.0" encoding="utf-8"?>
<table xmlns="http://schemas.openxmlformats.org/spreadsheetml/2006/main" headerRowCount="0" ref="A3:L260" displayName="Table_4" name="Table_4" id="4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Daily-style" showColumnStripes="0" showFirstColumn="1" showLastColumn="1" showRowStripes="1"/>
</table>
</file>

<file path=xl/tables/table5.xml><?xml version="1.0" encoding="utf-8"?>
<table xmlns="http://schemas.openxmlformats.org/spreadsheetml/2006/main" headerRowCount="0" ref="A3:L260" displayName="Table_5" name="Table_5" id="5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Summa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6T04:00:27.00" personId="{11102d4f-30c3-42bb-bcb3-94e4ec8c25f8}" id="{d573962b-f6ac-43a9-8550-48b912219fa7}" done="0">
    <x18tc:text xml:space="preserve">Please delete the '黄金走势（USD）' chart (chartId: 286868259) as requested by the user.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nvda.us" TargetMode="External"/><Relationship Id="rId2" Type="http://schemas.openxmlformats.org/officeDocument/2006/relationships/hyperlink" Target="http://sgov.us" TargetMode="External"/><Relationship Id="rId3" Type="http://schemas.openxmlformats.org/officeDocument/2006/relationships/hyperlink" Target="http://tsla.us" TargetMode="External"/><Relationship Id="rId4" Type="http://schemas.openxmlformats.org/officeDocument/2006/relationships/hyperlink" Target="http://qqq.us" TargetMode="External"/><Relationship Id="rId5" Type="http://schemas.openxmlformats.org/officeDocument/2006/relationships/hyperlink" Target="http://gold.cn" TargetMode="External"/><Relationship Id="rId6" Type="http://schemas.openxmlformats.org/officeDocument/2006/relationships/drawing" Target="../drawings/drawing2.xml"/><Relationship Id="rId8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21.38"/>
    <col customWidth="1" min="3" max="3" width="3.13"/>
    <col customWidth="1" min="4" max="6" width="21.38"/>
    <col customWidth="1" min="7" max="8" width="10.13"/>
  </cols>
  <sheetData>
    <row r="1" ht="42.0" customHeight="1">
      <c r="A1" s="1" t="s">
        <v>0</v>
      </c>
      <c r="J1" s="2" t="s">
        <v>1</v>
      </c>
      <c r="K1" s="2" t="s">
        <v>2</v>
      </c>
    </row>
    <row r="2" ht="31.5" customHeight="1">
      <c r="A2" s="3"/>
      <c r="C2" s="4"/>
      <c r="D2" s="3"/>
      <c r="G2" s="4"/>
      <c r="H2" s="4"/>
      <c r="J2" s="2" t="s">
        <v>3</v>
      </c>
      <c r="K2" s="2" t="b">
        <v>0</v>
      </c>
    </row>
    <row r="3" ht="31.5" customHeight="1">
      <c r="A3" s="3" t="s">
        <v>4</v>
      </c>
      <c r="B3" s="5" t="s">
        <v>5</v>
      </c>
      <c r="C3" s="4"/>
      <c r="D3" s="6" t="s">
        <v>6</v>
      </c>
      <c r="E3" s="7">
        <v>0.0496</v>
      </c>
      <c r="F3" s="7"/>
      <c r="G3" s="4"/>
      <c r="H3" s="8"/>
    </row>
    <row r="4" ht="31.5" customHeight="1">
      <c r="A4" s="3" t="s">
        <v>7</v>
      </c>
      <c r="B4" s="5" t="s">
        <v>5</v>
      </c>
      <c r="C4" s="4"/>
      <c r="D4" s="9" t="s">
        <v>8</v>
      </c>
      <c r="E4" s="10">
        <v>0.0242</v>
      </c>
      <c r="F4" s="9"/>
      <c r="G4" s="4"/>
      <c r="H4" s="8"/>
    </row>
    <row r="5" ht="31.5" customHeight="1">
      <c r="A5" s="3" t="s">
        <v>9</v>
      </c>
      <c r="B5" s="5" t="s">
        <v>5</v>
      </c>
      <c r="C5" s="4"/>
      <c r="D5" s="9" t="s">
        <v>10</v>
      </c>
      <c r="E5" s="9" t="str">
        <f>IF($K$2,"OK","HIDDEN")</f>
        <v>HIDDEN</v>
      </c>
      <c r="F5" s="9"/>
      <c r="G5" s="4"/>
      <c r="H5" s="4"/>
    </row>
    <row r="6" ht="31.5" customHeight="1">
      <c r="A6" s="3" t="s">
        <v>11</v>
      </c>
      <c r="B6" s="5" t="s">
        <v>5</v>
      </c>
      <c r="C6" s="8"/>
      <c r="D6" s="9" t="s">
        <v>12</v>
      </c>
      <c r="E6" s="9" t="s">
        <v>13</v>
      </c>
      <c r="F6" s="9"/>
      <c r="G6" s="8"/>
      <c r="H6" s="8"/>
    </row>
    <row r="7" ht="25.5" customHeight="1">
      <c r="A7" s="11"/>
      <c r="G7" s="4"/>
      <c r="H7" s="12" t="s">
        <v>14</v>
      </c>
      <c r="I7" s="13"/>
      <c r="J7" s="13"/>
      <c r="K7" s="14"/>
      <c r="L7" s="13"/>
      <c r="M7" s="13"/>
    </row>
    <row r="8" ht="25.5" customHeight="1">
      <c r="A8" s="15"/>
      <c r="B8" s="16"/>
      <c r="C8" s="15"/>
      <c r="D8" s="17"/>
      <c r="E8" s="15"/>
      <c r="F8" s="17"/>
      <c r="G8" s="18"/>
      <c r="H8" s="19" t="s">
        <v>15</v>
      </c>
      <c r="I8" s="20" t="s">
        <v>16</v>
      </c>
      <c r="J8" s="20" t="s">
        <v>17</v>
      </c>
      <c r="K8" s="20" t="s">
        <v>18</v>
      </c>
      <c r="L8" s="20" t="s">
        <v>19</v>
      </c>
      <c r="M8" s="20" t="s">
        <v>20</v>
      </c>
    </row>
    <row r="9" ht="22.5" customHeight="1">
      <c r="A9" s="21"/>
      <c r="B9" s="22"/>
      <c r="C9" s="22"/>
      <c r="D9" s="22"/>
      <c r="E9" s="22"/>
      <c r="F9" s="22"/>
      <c r="G9" s="8"/>
      <c r="H9" s="23">
        <f t="array" ref="H9">INDEX(Daily!A:A,MAX(2,MATCH(2,1/(Daily!A:A&lt;&gt;""),1)-6))</f>
        <v>46070</v>
      </c>
      <c r="I9" s="24" t="str">
        <f t="array" ref="I9">IF($K$2,TEXT(INDEX(Hidden_Logic!B:B,9),"#,##0.00"),"****")</f>
        <v>****</v>
      </c>
      <c r="J9" s="24" t="str">
        <f t="array" ref="J9">IF($K$2,TEXT(INDEX(Hidden_Logic!C:C,9),"#,##0.00"),"****")</f>
        <v>****</v>
      </c>
      <c r="K9" s="25" t="str">
        <f t="array" ref="K9">IF($K$2,TEXT(INDEX(Hidden_Logic!D:D,9),"#,##0.00"),"****")</f>
        <v>****</v>
      </c>
      <c r="L9" s="24" t="str">
        <f t="array" ref="L9">IF($K$2,TEXT(INDEX(Hidden_Logic!E:E,9),"#,##0.00"),"****")</f>
        <v>****</v>
      </c>
      <c r="M9" s="26">
        <f t="array" ref="M9">INDEX(Daily!F:F,MAX(2,MATCH(2,1/(Daily!F:F&lt;&gt;""),1)-6))</f>
        <v>1.21</v>
      </c>
    </row>
    <row r="10" ht="22.5" customHeight="1">
      <c r="A10" s="21"/>
      <c r="B10" s="22"/>
      <c r="C10" s="22"/>
      <c r="D10" s="22"/>
      <c r="E10" s="22"/>
      <c r="F10" s="22"/>
      <c r="G10" s="8"/>
      <c r="H10" s="23">
        <f t="array" ref="H10">INDEX(Daily!A:A,MAX(2,MATCH(2,1/(Daily!A:A&lt;&gt;""),1)-5))</f>
        <v>46071</v>
      </c>
      <c r="I10" s="24" t="str">
        <f t="array" ref="I10">IF($K$2,TEXT(INDEX(Hidden_Logic!B:B,10),"#,##0.00"),"****")</f>
        <v>****</v>
      </c>
      <c r="J10" s="24" t="str">
        <f t="array" ref="J10">IF($K$2,TEXT(INDEX(Hidden_Logic!C:C,10),"#,##0.00"),"****")</f>
        <v>****</v>
      </c>
      <c r="K10" s="24" t="str">
        <f t="array" ref="K10">IF($K$2,TEXT(INDEX(Hidden_Logic!D:D,10),"#,##0.00"),"****")</f>
        <v>****</v>
      </c>
      <c r="L10" s="24" t="str">
        <f t="array" ref="L10">IF($K$2,TEXT(INDEX(Hidden_Logic!E:E,10),"#,##0.00"),"****")</f>
        <v>****</v>
      </c>
      <c r="M10" s="26">
        <f t="array" ref="M10">INDEX(Daily!F:F,MAX(2,MATCH(2,1/(Daily!F:F&lt;&gt;""),1)-5))</f>
        <v>1.22</v>
      </c>
    </row>
    <row r="11" ht="22.5" customHeight="1">
      <c r="A11" s="21"/>
      <c r="B11" s="22"/>
      <c r="C11" s="22"/>
      <c r="D11" s="22"/>
      <c r="E11" s="22"/>
      <c r="F11" s="22"/>
      <c r="G11" s="8"/>
      <c r="H11" s="23">
        <f t="array" ref="H11">INDEX(Daily!A:A,MAX(2,MATCH(2,1/(Daily!A:A&lt;&gt;""),1)-4))</f>
        <v>46072</v>
      </c>
      <c r="I11" s="24" t="str">
        <f t="array" ref="I11">IF($K$2,TEXT(INDEX(Hidden_Logic!B:B,11),"#,##0.00"),"****")</f>
        <v>****</v>
      </c>
      <c r="J11" s="24" t="str">
        <f t="array" ref="J11">IF($K$2,TEXT(INDEX(Hidden_Logic!C:C,11),"#,##0.00"),"****")</f>
        <v>****</v>
      </c>
      <c r="K11" s="24" t="str">
        <f t="array" ref="K11">IF($K$2,TEXT(INDEX(Hidden_Logic!D:D,11),"#,##0.00"),"****")</f>
        <v>****</v>
      </c>
      <c r="L11" s="24" t="str">
        <f t="array" ref="L11">IF($K$2,TEXT(INDEX(Hidden_Logic!E:E,11),"#,##0.00"),"****")</f>
        <v>****</v>
      </c>
      <c r="M11" s="26">
        <f t="array" ref="M11">INDEX(Daily!F:F,MAX(2,MATCH(2,1/(Daily!F:F&lt;&gt;""),1)-4))</f>
        <v>1.25</v>
      </c>
    </row>
    <row r="12" ht="22.5" customHeight="1">
      <c r="A12" s="21"/>
      <c r="B12" s="22"/>
      <c r="C12" s="22"/>
      <c r="D12" s="22"/>
      <c r="E12" s="22"/>
      <c r="F12" s="22"/>
      <c r="G12" s="8"/>
      <c r="H12" s="23">
        <f t="array" ref="H12">INDEX(Daily!A:A,MAX(2,MATCH(2,1/(Daily!A:A&lt;&gt;""),1)-3))</f>
        <v>46073</v>
      </c>
      <c r="I12" s="24" t="str">
        <f t="array" ref="I12">IF($K$2,TEXT(INDEX(Hidden_Logic!B:B,12),"#,##0.00"),"****")</f>
        <v>****</v>
      </c>
      <c r="J12" s="24" t="str">
        <f t="array" ref="J12">IF($K$2,TEXT(INDEX(Hidden_Logic!C:C,12),"#,##0.00"),"****")</f>
        <v>****</v>
      </c>
      <c r="K12" s="24" t="str">
        <f t="array" ref="K12">IF($K$2,TEXT(INDEX(Hidden_Logic!D:D,12),"#,##0.00"),"****")</f>
        <v>****</v>
      </c>
      <c r="L12" s="24" t="str">
        <f t="array" ref="L12">IF($K$2,TEXT(INDEX(Hidden_Logic!E:E,12),"#,##0.00"),"****")</f>
        <v>****</v>
      </c>
      <c r="M12" s="26">
        <f t="array" ref="M12">INDEX(Daily!F:F,MAX(2,MATCH(2,1/(Daily!F:F&lt;&gt;""),1)-3))</f>
        <v>1.26</v>
      </c>
    </row>
    <row r="13" ht="22.5" customHeight="1">
      <c r="A13" s="21"/>
      <c r="B13" s="22"/>
      <c r="C13" s="22"/>
      <c r="D13" s="22"/>
      <c r="E13" s="22"/>
      <c r="F13" s="22"/>
      <c r="G13" s="8"/>
      <c r="H13" s="23">
        <f t="array" ref="H13">INDEX(Daily!A:A,MAX(2,MATCH(2,1/(Daily!A:A&lt;&gt;""),1)-2))</f>
        <v>46074</v>
      </c>
      <c r="I13" s="24" t="str">
        <f t="array" ref="I13">IF($K$2,TEXT(INDEX(Hidden_Logic!B:B,13),"#,##0.00"),"****")</f>
        <v>****</v>
      </c>
      <c r="J13" s="24" t="str">
        <f t="array" ref="J13">IF($K$2,TEXT(INDEX(Hidden_Logic!C:C,13),"#,##0.00"),"****")</f>
        <v>****</v>
      </c>
      <c r="K13" s="24" t="str">
        <f t="array" ref="K13">IF($K$2,TEXT(INDEX(Hidden_Logic!D:D,13),"#,##0.00"),"****")</f>
        <v>****</v>
      </c>
      <c r="L13" s="24" t="str">
        <f t="array" ref="L13">IF($K$2,TEXT(INDEX(Hidden_Logic!E:E,13),"#,##0.00"),"****")</f>
        <v>****</v>
      </c>
      <c r="M13" s="26">
        <f t="array" ref="M13">INDEX(Daily!F:F,MAX(2,MATCH(2,1/(Daily!F:F&lt;&gt;""),1)-2))</f>
        <v>1.26</v>
      </c>
    </row>
    <row r="14" ht="22.5" customHeight="1">
      <c r="A14" s="21"/>
      <c r="B14" s="22"/>
      <c r="C14" s="22"/>
      <c r="D14" s="22"/>
      <c r="E14" s="22"/>
      <c r="F14" s="22"/>
      <c r="G14" s="8"/>
      <c r="H14" s="23">
        <f t="array" ref="H14">INDEX(Daily!A:A,MAX(2,MATCH(2,1/(Daily!A:A&lt;&gt;""),1)-1))</f>
        <v>46075</v>
      </c>
      <c r="I14" s="24" t="str">
        <f t="array" ref="I14">IF($K$2,TEXT(INDEX(Hidden_Logic!B:B,14),"#,##0.00"),"****")</f>
        <v>****</v>
      </c>
      <c r="J14" s="24" t="str">
        <f t="array" ref="J14">IF($K$2,TEXT(INDEX(Hidden_Logic!C:C,14),"#,##0.00"),"****")</f>
        <v>****</v>
      </c>
      <c r="K14" s="24" t="str">
        <f t="array" ref="K14">IF($K$2,TEXT(INDEX(Hidden_Logic!D:D,14),"#,##0.00"),"****")</f>
        <v>****</v>
      </c>
      <c r="L14" s="24" t="str">
        <f t="array" ref="L14">IF($K$2,TEXT(INDEX(Hidden_Logic!E:E,14),"#,##0.00"),"****")</f>
        <v>****</v>
      </c>
      <c r="M14" s="26">
        <f t="array" ref="M14">INDEX(Daily!F:F,MAX(2,MATCH(2,1/(Daily!F:F&lt;&gt;""),1)-1))</f>
        <v>1.27</v>
      </c>
    </row>
    <row r="15" ht="22.5" customHeight="1">
      <c r="A15" s="21"/>
      <c r="B15" s="22"/>
      <c r="C15" s="22"/>
      <c r="D15" s="22"/>
      <c r="E15" s="22"/>
      <c r="F15" s="22"/>
      <c r="G15" s="8"/>
      <c r="H15" s="23">
        <f t="array" ref="H15">INDEX(Daily!A:A,MATCH(2,1/(Daily!A:A&lt;&gt;""),1))</f>
        <v>46076</v>
      </c>
      <c r="I15" s="24" t="str">
        <f t="array" ref="I15">IF($K$2,TEXT(INDEX(Hidden_Logic!B:B,15),"#,##0.00"),"****")</f>
        <v>****</v>
      </c>
      <c r="J15" s="24" t="str">
        <f t="array" ref="J15">IF($K$2,TEXT(INDEX(Hidden_Logic!C:C,15),"#,##0.00"),"****")</f>
        <v>****</v>
      </c>
      <c r="K15" s="24" t="str">
        <f t="array" ref="K15">IF($K$2,TEXT(INDEX(Hidden_Logic!D:D,15),"#,##0.00"),"****")</f>
        <v>****</v>
      </c>
      <c r="L15" s="24" t="str">
        <f t="array" ref="L15">IF($K$2,TEXT(INDEX(Hidden_Logic!E:E,15),"#,##0.00"),"****")</f>
        <v>****</v>
      </c>
      <c r="M15" s="26">
        <f t="array" ref="M15">INDEX(Daily!F:F,MATCH(2,1/(Daily!F:F&lt;&gt;""),1))</f>
        <v>1.25</v>
      </c>
    </row>
    <row r="16" ht="22.5" customHeight="1">
      <c r="A16" s="4"/>
      <c r="B16" s="27"/>
      <c r="C16" s="28"/>
      <c r="D16" s="29"/>
      <c r="E16" s="4"/>
      <c r="F16" s="4"/>
      <c r="G16" s="8"/>
      <c r="H16" s="30" t="s">
        <v>21</v>
      </c>
      <c r="I16" s="31"/>
      <c r="J16" s="31"/>
      <c r="K16" s="31"/>
      <c r="L16" s="31"/>
      <c r="M16" s="31"/>
    </row>
    <row r="17" ht="25.5" customHeight="1">
      <c r="A17" s="4"/>
      <c r="B17" s="27"/>
      <c r="C17" s="28"/>
      <c r="D17" s="29"/>
      <c r="E17" s="32"/>
      <c r="F17" s="32"/>
      <c r="G17" s="8"/>
      <c r="H17" s="33" t="s">
        <v>22</v>
      </c>
      <c r="I17" s="34">
        <f t="array" ref="I17">INDEX(Daily!A:A,MATCH(2,1/(Daily!A:A&lt;&gt;""),1))</f>
        <v>46076</v>
      </c>
      <c r="J17" s="35" t="s">
        <v>23</v>
      </c>
      <c r="K17" s="36">
        <f t="array" ref="K17">INDEX(Daily!F:F,MATCH(2,1/(Daily!F:F&lt;&gt;""),1))</f>
        <v>1.25</v>
      </c>
      <c r="L17" s="35" t="s">
        <v>24</v>
      </c>
      <c r="M17" s="37" t="str">
        <f>IFERROR(TEXT(Hidden_Logic!E15/Hidden_Logic!E9-1,"0.00%"),"—")</f>
        <v>4.59%</v>
      </c>
    </row>
    <row r="18" ht="25.5" customHeight="1">
      <c r="A18" s="4"/>
      <c r="B18" s="27"/>
      <c r="C18" s="28"/>
      <c r="D18" s="29"/>
      <c r="E18" s="38"/>
      <c r="F18" s="38"/>
      <c r="G18" s="8"/>
      <c r="H18" s="33" t="s">
        <v>25</v>
      </c>
      <c r="I18" s="37" t="str">
        <f>IF($K$2,"显示金额","隐藏金额")</f>
        <v>隐藏金额</v>
      </c>
      <c r="J18" s="35" t="s">
        <v>12</v>
      </c>
      <c r="K18" s="35" t="s">
        <v>13</v>
      </c>
      <c r="L18" s="35" t="s">
        <v>10</v>
      </c>
      <c r="M18" s="37" t="str">
        <f>IF($K$2,"OK","HIDDEN")</f>
        <v>HIDDEN</v>
      </c>
    </row>
    <row r="19" ht="25.5" customHeight="1">
      <c r="A19" s="8"/>
      <c r="B19" s="27"/>
      <c r="C19" s="28"/>
      <c r="D19" s="29"/>
      <c r="E19" s="38"/>
      <c r="F19" s="38"/>
      <c r="G19" s="8"/>
      <c r="H19" s="39"/>
      <c r="I19" s="40"/>
      <c r="J19" s="40"/>
      <c r="K19" s="40"/>
      <c r="L19" s="40"/>
      <c r="M19" s="40"/>
    </row>
    <row r="20" ht="25.5" customHeight="1">
      <c r="A20" s="4"/>
      <c r="B20" s="27"/>
      <c r="C20" s="41"/>
      <c r="D20" s="42"/>
      <c r="E20" s="8"/>
      <c r="F20" s="8"/>
      <c r="G20" s="8"/>
      <c r="H20" s="8"/>
    </row>
    <row r="21" ht="25.5" customHeight="1">
      <c r="A21" s="4"/>
      <c r="B21" s="4"/>
      <c r="C21" s="41"/>
      <c r="D21" s="42"/>
      <c r="E21" s="8"/>
      <c r="F21" s="8"/>
      <c r="G21" s="8"/>
      <c r="H21" s="8"/>
    </row>
    <row r="22" ht="25.5" customHeight="1">
      <c r="A22" s="4"/>
      <c r="B22" s="4"/>
      <c r="C22" s="41"/>
      <c r="D22" s="42"/>
      <c r="E22" s="8"/>
      <c r="F22" s="8"/>
      <c r="G22" s="8"/>
      <c r="H22" s="8"/>
    </row>
    <row r="23" ht="25.5" customHeight="1">
      <c r="A23" s="43"/>
      <c r="B23" s="43"/>
      <c r="C23" s="44"/>
      <c r="D23" s="45"/>
      <c r="E23" s="46"/>
      <c r="F23" s="46"/>
      <c r="G23" s="47"/>
      <c r="H23" s="47"/>
    </row>
    <row r="24" ht="25.5" customHeight="1">
      <c r="A24" s="43"/>
      <c r="B24" s="43"/>
      <c r="C24" s="44"/>
      <c r="D24" s="45"/>
      <c r="E24" s="46"/>
      <c r="F24" s="46"/>
      <c r="G24" s="47"/>
      <c r="H24" s="47"/>
    </row>
    <row r="25" ht="25.5" customHeight="1">
      <c r="A25" s="43"/>
      <c r="B25" s="43"/>
      <c r="C25" s="44"/>
      <c r="D25" s="45"/>
      <c r="E25" s="46"/>
      <c r="F25" s="46"/>
      <c r="G25" s="47"/>
      <c r="H25" s="47"/>
    </row>
    <row r="26" ht="25.5" customHeight="1">
      <c r="A26" s="48"/>
      <c r="B26" s="48"/>
      <c r="C26" s="49"/>
      <c r="D26" s="49"/>
      <c r="E26" s="50"/>
      <c r="F26" s="50"/>
      <c r="G26" s="51"/>
      <c r="H26" s="51"/>
    </row>
    <row r="27" ht="25.5" customHeight="1">
      <c r="A27" s="48"/>
      <c r="B27" s="48"/>
      <c r="C27" s="49"/>
      <c r="D27" s="49"/>
      <c r="E27" s="50"/>
      <c r="F27" s="50"/>
      <c r="G27" s="51"/>
      <c r="H27" s="51"/>
    </row>
    <row r="28" ht="25.5" customHeight="1">
      <c r="A28" s="48"/>
      <c r="B28" s="48"/>
      <c r="C28" s="49"/>
      <c r="D28" s="49"/>
      <c r="E28" s="50"/>
      <c r="F28" s="50"/>
      <c r="G28" s="51"/>
      <c r="H28" s="51"/>
    </row>
    <row r="29" ht="25.5" customHeight="1">
      <c r="A29" s="48"/>
      <c r="B29" s="48"/>
      <c r="C29" s="49"/>
      <c r="D29" s="49"/>
      <c r="E29" s="50"/>
      <c r="F29" s="50"/>
      <c r="G29" s="51"/>
      <c r="H29" s="51"/>
    </row>
    <row r="30" ht="25.5" customHeight="1">
      <c r="A30" s="48"/>
      <c r="B30" s="48"/>
      <c r="C30" s="49"/>
      <c r="D30" s="49"/>
      <c r="E30" s="50"/>
      <c r="F30" s="50"/>
      <c r="G30" s="51"/>
      <c r="H30" s="51"/>
    </row>
    <row r="31">
      <c r="A31" s="51"/>
      <c r="B31" s="51"/>
      <c r="C31" s="51"/>
      <c r="D31" s="51"/>
      <c r="E31" s="51"/>
      <c r="F31" s="51"/>
      <c r="G31" s="51"/>
      <c r="H31" s="51"/>
    </row>
    <row r="32">
      <c r="A32" s="51"/>
      <c r="B32" s="51"/>
      <c r="C32" s="51"/>
      <c r="D32" s="51"/>
      <c r="E32" s="51"/>
      <c r="F32" s="51"/>
      <c r="G32" s="51"/>
      <c r="H32" s="51"/>
    </row>
    <row r="33">
      <c r="A33" s="51"/>
      <c r="B33" s="51"/>
      <c r="C33" s="51"/>
      <c r="D33" s="51"/>
      <c r="E33" s="51"/>
      <c r="F33" s="51"/>
      <c r="G33" s="51"/>
      <c r="H33" s="51"/>
    </row>
    <row r="34">
      <c r="A34" s="51"/>
      <c r="B34" s="51"/>
      <c r="C34" s="51"/>
      <c r="D34" s="51"/>
      <c r="E34" s="51"/>
      <c r="F34" s="51"/>
      <c r="G34" s="51"/>
      <c r="H34" s="51"/>
    </row>
    <row r="35">
      <c r="A35" s="51"/>
      <c r="B35" s="51"/>
      <c r="C35" s="51"/>
      <c r="D35" s="51"/>
      <c r="E35" s="51"/>
      <c r="F35" s="51"/>
      <c r="G35" s="51"/>
      <c r="H35" s="51"/>
    </row>
    <row r="36">
      <c r="A36" s="51"/>
      <c r="B36" s="51"/>
      <c r="C36" s="51"/>
      <c r="D36" s="51"/>
      <c r="E36" s="51"/>
      <c r="F36" s="51"/>
      <c r="G36" s="51"/>
      <c r="H36" s="51"/>
    </row>
    <row r="37">
      <c r="A37" s="51"/>
      <c r="B37" s="51"/>
      <c r="C37" s="51"/>
      <c r="D37" s="51"/>
      <c r="E37" s="51"/>
      <c r="F37" s="51"/>
      <c r="G37" s="51"/>
      <c r="H37" s="51"/>
    </row>
    <row r="38">
      <c r="A38" s="51"/>
      <c r="B38" s="51"/>
      <c r="C38" s="51"/>
      <c r="D38" s="51"/>
      <c r="E38" s="51"/>
      <c r="F38" s="51"/>
      <c r="G38" s="51"/>
      <c r="H38" s="51"/>
    </row>
    <row r="39">
      <c r="A39" s="51"/>
      <c r="B39" s="51"/>
      <c r="C39" s="51"/>
      <c r="D39" s="51"/>
      <c r="E39" s="51"/>
      <c r="F39" s="51"/>
      <c r="G39" s="51"/>
      <c r="H39" s="51"/>
    </row>
    <row r="40">
      <c r="A40" s="51"/>
      <c r="B40" s="51"/>
      <c r="C40" s="51"/>
      <c r="D40" s="51"/>
      <c r="E40" s="51"/>
      <c r="F40" s="51"/>
      <c r="G40" s="51"/>
      <c r="H40" s="51"/>
    </row>
    <row r="41">
      <c r="A41" s="51"/>
      <c r="B41" s="51"/>
      <c r="C41" s="51"/>
      <c r="D41" s="51"/>
      <c r="E41" s="51"/>
      <c r="F41" s="51"/>
      <c r="G41" s="51"/>
      <c r="H41" s="51"/>
    </row>
    <row r="42">
      <c r="A42" s="51"/>
      <c r="B42" s="51"/>
      <c r="C42" s="51"/>
      <c r="D42" s="51"/>
      <c r="E42" s="51"/>
      <c r="F42" s="51"/>
      <c r="G42" s="51"/>
      <c r="H42" s="51"/>
    </row>
    <row r="43">
      <c r="A43" s="51"/>
      <c r="B43" s="51"/>
      <c r="C43" s="51"/>
      <c r="D43" s="51"/>
      <c r="E43" s="51"/>
      <c r="F43" s="51"/>
      <c r="G43" s="51"/>
      <c r="H43" s="51"/>
    </row>
    <row r="44">
      <c r="A44" s="51"/>
      <c r="B44" s="51"/>
      <c r="C44" s="51"/>
      <c r="D44" s="51"/>
      <c r="E44" s="51"/>
      <c r="F44" s="51"/>
      <c r="G44" s="51"/>
      <c r="H44" s="51"/>
    </row>
    <row r="45">
      <c r="A45" s="51"/>
      <c r="B45" s="51"/>
      <c r="C45" s="51"/>
      <c r="D45" s="51"/>
      <c r="E45" s="51"/>
      <c r="F45" s="51"/>
      <c r="G45" s="51"/>
      <c r="H45" s="51"/>
    </row>
    <row r="46">
      <c r="A46" s="51"/>
      <c r="B46" s="51"/>
      <c r="C46" s="51"/>
      <c r="D46" s="51"/>
      <c r="E46" s="51"/>
      <c r="F46" s="51"/>
      <c r="G46" s="51"/>
      <c r="H46" s="51"/>
    </row>
    <row r="47">
      <c r="A47" s="51"/>
      <c r="B47" s="51"/>
      <c r="C47" s="51"/>
      <c r="D47" s="51"/>
      <c r="E47" s="51"/>
      <c r="F47" s="51"/>
      <c r="G47" s="51"/>
      <c r="H47" s="51"/>
    </row>
    <row r="48">
      <c r="A48" s="51"/>
      <c r="B48" s="51"/>
      <c r="C48" s="51"/>
      <c r="D48" s="51"/>
      <c r="E48" s="51"/>
      <c r="F48" s="51"/>
      <c r="G48" s="51"/>
      <c r="H48" s="51"/>
    </row>
    <row r="49">
      <c r="A49" s="51"/>
      <c r="B49" s="51"/>
      <c r="C49" s="51"/>
      <c r="D49" s="51"/>
      <c r="E49" s="51"/>
      <c r="F49" s="51"/>
      <c r="G49" s="51"/>
      <c r="H49" s="51"/>
    </row>
    <row r="50">
      <c r="A50" s="51"/>
      <c r="B50" s="51"/>
      <c r="C50" s="51"/>
      <c r="D50" s="51"/>
      <c r="E50" s="51"/>
      <c r="F50" s="51"/>
      <c r="G50" s="51"/>
      <c r="H50" s="51"/>
    </row>
    <row r="51">
      <c r="A51" s="51"/>
      <c r="B51" s="51"/>
      <c r="C51" s="51"/>
      <c r="D51" s="51"/>
      <c r="E51" s="51"/>
      <c r="F51" s="51"/>
      <c r="G51" s="51"/>
      <c r="H51" s="51"/>
    </row>
    <row r="52">
      <c r="A52" s="51"/>
      <c r="B52" s="51"/>
      <c r="C52" s="51"/>
      <c r="D52" s="51"/>
      <c r="E52" s="51"/>
      <c r="F52" s="51"/>
      <c r="G52" s="51"/>
      <c r="H52" s="51"/>
    </row>
    <row r="53">
      <c r="A53" s="51"/>
      <c r="B53" s="51"/>
      <c r="C53" s="51"/>
      <c r="D53" s="51"/>
      <c r="E53" s="51"/>
      <c r="F53" s="51"/>
      <c r="G53" s="51"/>
      <c r="H53" s="51"/>
    </row>
    <row r="54">
      <c r="A54" s="51"/>
      <c r="B54" s="51"/>
      <c r="C54" s="51"/>
      <c r="D54" s="51"/>
      <c r="E54" s="51"/>
      <c r="F54" s="51"/>
      <c r="G54" s="51"/>
      <c r="H54" s="51"/>
    </row>
    <row r="55">
      <c r="A55" s="51"/>
      <c r="B55" s="51"/>
      <c r="C55" s="51"/>
      <c r="D55" s="51"/>
      <c r="E55" s="51"/>
      <c r="F55" s="51"/>
      <c r="G55" s="51"/>
      <c r="H55" s="51"/>
    </row>
    <row r="56">
      <c r="A56" s="51"/>
      <c r="B56" s="51"/>
      <c r="C56" s="51"/>
      <c r="D56" s="51"/>
      <c r="E56" s="51"/>
      <c r="F56" s="51"/>
      <c r="G56" s="51"/>
      <c r="H56" s="51"/>
    </row>
    <row r="57">
      <c r="A57" s="51"/>
      <c r="B57" s="51"/>
      <c r="C57" s="51"/>
      <c r="D57" s="51"/>
      <c r="E57" s="51"/>
      <c r="F57" s="51"/>
      <c r="G57" s="51"/>
      <c r="H57" s="51"/>
    </row>
    <row r="58">
      <c r="A58" s="51"/>
      <c r="B58" s="51"/>
      <c r="C58" s="51"/>
      <c r="D58" s="51"/>
      <c r="E58" s="51"/>
      <c r="F58" s="51"/>
      <c r="G58" s="51"/>
      <c r="H58" s="51"/>
    </row>
    <row r="59">
      <c r="A59" s="51"/>
      <c r="B59" s="51"/>
      <c r="C59" s="51"/>
      <c r="D59" s="51"/>
      <c r="E59" s="51"/>
      <c r="F59" s="51"/>
      <c r="G59" s="51"/>
      <c r="H59" s="51"/>
    </row>
    <row r="60">
      <c r="A60" s="51"/>
      <c r="B60" s="51"/>
      <c r="C60" s="51"/>
      <c r="D60" s="51"/>
      <c r="E60" s="51"/>
      <c r="F60" s="51"/>
      <c r="G60" s="51"/>
      <c r="H60" s="51"/>
    </row>
    <row r="61">
      <c r="A61" s="51"/>
      <c r="B61" s="51"/>
      <c r="C61" s="51"/>
      <c r="D61" s="51"/>
      <c r="E61" s="51"/>
      <c r="F61" s="51"/>
      <c r="G61" s="51"/>
      <c r="H61" s="51"/>
    </row>
    <row r="62">
      <c r="A62" s="51"/>
      <c r="B62" s="51"/>
      <c r="C62" s="51"/>
      <c r="D62" s="51"/>
      <c r="E62" s="51"/>
      <c r="F62" s="51"/>
      <c r="G62" s="51"/>
      <c r="H62" s="51"/>
    </row>
    <row r="63">
      <c r="A63" s="51"/>
      <c r="B63" s="51"/>
      <c r="C63" s="51"/>
      <c r="D63" s="51"/>
      <c r="E63" s="51"/>
      <c r="F63" s="51"/>
      <c r="G63" s="51"/>
      <c r="H63" s="51"/>
    </row>
    <row r="64">
      <c r="A64" s="51"/>
      <c r="B64" s="51"/>
      <c r="C64" s="51"/>
      <c r="D64" s="51"/>
      <c r="E64" s="51"/>
      <c r="F64" s="51"/>
      <c r="G64" s="51"/>
      <c r="H64" s="51"/>
    </row>
    <row r="65">
      <c r="A65" s="51"/>
      <c r="B65" s="51"/>
      <c r="C65" s="51"/>
      <c r="D65" s="51"/>
      <c r="E65" s="51"/>
      <c r="F65" s="51"/>
      <c r="G65" s="51"/>
      <c r="H65" s="51"/>
    </row>
    <row r="66">
      <c r="A66" s="51"/>
      <c r="B66" s="51"/>
      <c r="C66" s="51"/>
      <c r="D66" s="51"/>
      <c r="E66" s="51"/>
      <c r="F66" s="51"/>
      <c r="G66" s="51"/>
      <c r="H66" s="51"/>
    </row>
    <row r="67">
      <c r="A67" s="51"/>
      <c r="B67" s="51"/>
      <c r="C67" s="51"/>
      <c r="D67" s="51"/>
      <c r="E67" s="51"/>
      <c r="F67" s="51"/>
      <c r="G67" s="51"/>
      <c r="H67" s="51"/>
    </row>
    <row r="68">
      <c r="A68" s="51"/>
      <c r="B68" s="51"/>
      <c r="C68" s="51"/>
      <c r="D68" s="51"/>
      <c r="E68" s="51"/>
      <c r="F68" s="51"/>
      <c r="G68" s="51"/>
      <c r="H68" s="51"/>
    </row>
    <row r="69">
      <c r="A69" s="51"/>
      <c r="B69" s="51"/>
      <c r="C69" s="51"/>
      <c r="D69" s="51"/>
      <c r="E69" s="51"/>
      <c r="F69" s="51"/>
      <c r="G69" s="51"/>
      <c r="H69" s="51"/>
    </row>
    <row r="70">
      <c r="A70" s="51"/>
      <c r="B70" s="51"/>
      <c r="C70" s="51"/>
      <c r="D70" s="51"/>
      <c r="E70" s="51"/>
      <c r="F70" s="51"/>
      <c r="G70" s="51"/>
      <c r="H70" s="51"/>
    </row>
    <row r="71">
      <c r="A71" s="51"/>
      <c r="B71" s="51"/>
      <c r="C71" s="51"/>
      <c r="D71" s="51"/>
      <c r="E71" s="51"/>
      <c r="F71" s="51"/>
      <c r="G71" s="51"/>
      <c r="H71" s="51"/>
    </row>
    <row r="72">
      <c r="A72" s="51"/>
      <c r="B72" s="51"/>
      <c r="C72" s="51"/>
      <c r="D72" s="51"/>
      <c r="E72" s="51"/>
      <c r="F72" s="51"/>
      <c r="G72" s="51"/>
      <c r="H72" s="51"/>
    </row>
    <row r="73">
      <c r="A73" s="51"/>
      <c r="B73" s="51"/>
      <c r="C73" s="51"/>
      <c r="D73" s="51"/>
      <c r="E73" s="51"/>
      <c r="F73" s="51"/>
      <c r="G73" s="51"/>
      <c r="H73" s="51"/>
    </row>
    <row r="74">
      <c r="A74" s="51"/>
      <c r="B74" s="51"/>
      <c r="C74" s="51"/>
      <c r="D74" s="51"/>
      <c r="E74" s="51"/>
      <c r="F74" s="51"/>
      <c r="G74" s="51"/>
      <c r="H74" s="51"/>
    </row>
    <row r="75">
      <c r="A75" s="51"/>
      <c r="B75" s="51"/>
      <c r="C75" s="51"/>
      <c r="D75" s="51"/>
      <c r="E75" s="51"/>
      <c r="F75" s="51"/>
      <c r="G75" s="51"/>
      <c r="H75" s="51"/>
    </row>
    <row r="76">
      <c r="A76" s="51"/>
      <c r="B76" s="51"/>
      <c r="C76" s="51"/>
      <c r="D76" s="51"/>
      <c r="E76" s="51"/>
      <c r="F76" s="51"/>
      <c r="G76" s="51"/>
      <c r="H76" s="51"/>
    </row>
    <row r="77">
      <c r="A77" s="51"/>
      <c r="B77" s="51"/>
      <c r="C77" s="51"/>
      <c r="D77" s="51"/>
      <c r="E77" s="51"/>
      <c r="F77" s="51"/>
      <c r="G77" s="51"/>
      <c r="H77" s="51"/>
    </row>
    <row r="78">
      <c r="A78" s="51"/>
      <c r="B78" s="51"/>
      <c r="C78" s="51"/>
      <c r="D78" s="51"/>
      <c r="E78" s="51"/>
      <c r="F78" s="51"/>
      <c r="G78" s="51"/>
      <c r="H78" s="51"/>
    </row>
    <row r="79">
      <c r="A79" s="51"/>
      <c r="B79" s="51"/>
      <c r="C79" s="51"/>
      <c r="D79" s="51"/>
      <c r="E79" s="51"/>
      <c r="F79" s="51"/>
      <c r="G79" s="51"/>
      <c r="H79" s="51"/>
    </row>
    <row r="80">
      <c r="A80" s="51"/>
      <c r="B80" s="51"/>
      <c r="C80" s="51"/>
      <c r="D80" s="51"/>
      <c r="E80" s="51"/>
      <c r="F80" s="51"/>
      <c r="G80" s="51"/>
      <c r="H80" s="51"/>
    </row>
    <row r="81">
      <c r="A81" s="51"/>
      <c r="B81" s="51"/>
      <c r="C81" s="51"/>
      <c r="D81" s="51"/>
      <c r="E81" s="51"/>
      <c r="F81" s="51"/>
      <c r="G81" s="51"/>
      <c r="H81" s="51"/>
    </row>
    <row r="82">
      <c r="A82" s="51"/>
      <c r="B82" s="51"/>
      <c r="C82" s="51"/>
      <c r="D82" s="51"/>
      <c r="E82" s="51"/>
      <c r="F82" s="51"/>
      <c r="G82" s="51"/>
      <c r="H82" s="51"/>
    </row>
    <row r="83">
      <c r="A83" s="51"/>
      <c r="B83" s="51"/>
      <c r="C83" s="51"/>
      <c r="D83" s="51"/>
      <c r="E83" s="51"/>
      <c r="F83" s="51"/>
      <c r="G83" s="51"/>
      <c r="H83" s="51"/>
    </row>
    <row r="84">
      <c r="A84" s="51"/>
      <c r="B84" s="51"/>
      <c r="C84" s="51"/>
      <c r="D84" s="51"/>
      <c r="E84" s="51"/>
      <c r="F84" s="51"/>
      <c r="G84" s="51"/>
      <c r="H84" s="51"/>
    </row>
    <row r="85">
      <c r="A85" s="51"/>
      <c r="B85" s="51"/>
      <c r="C85" s="51"/>
      <c r="D85" s="51"/>
      <c r="E85" s="51"/>
      <c r="F85" s="51"/>
      <c r="G85" s="51"/>
      <c r="H85" s="51"/>
    </row>
    <row r="86">
      <c r="A86" s="51"/>
      <c r="B86" s="51"/>
      <c r="C86" s="51"/>
      <c r="D86" s="51"/>
      <c r="E86" s="51"/>
      <c r="F86" s="51"/>
      <c r="G86" s="51"/>
      <c r="H86" s="51"/>
    </row>
    <row r="87">
      <c r="A87" s="51"/>
      <c r="B87" s="51"/>
      <c r="C87" s="51"/>
      <c r="D87" s="51"/>
      <c r="E87" s="51"/>
      <c r="F87" s="51"/>
      <c r="G87" s="51"/>
      <c r="H87" s="51"/>
    </row>
    <row r="88">
      <c r="A88" s="51"/>
      <c r="B88" s="51"/>
      <c r="C88" s="51"/>
      <c r="D88" s="51"/>
      <c r="E88" s="51"/>
      <c r="F88" s="51"/>
      <c r="G88" s="51"/>
      <c r="H88" s="51"/>
    </row>
    <row r="89">
      <c r="A89" s="51"/>
      <c r="B89" s="51"/>
      <c r="C89" s="51"/>
      <c r="D89" s="51"/>
      <c r="E89" s="51"/>
      <c r="F89" s="51"/>
      <c r="G89" s="51"/>
      <c r="H89" s="51"/>
    </row>
    <row r="90">
      <c r="A90" s="51"/>
      <c r="B90" s="51"/>
      <c r="C90" s="51"/>
      <c r="D90" s="51"/>
      <c r="E90" s="51"/>
      <c r="F90" s="51"/>
      <c r="G90" s="51"/>
      <c r="H90" s="51"/>
    </row>
    <row r="91">
      <c r="A91" s="51"/>
      <c r="B91" s="51"/>
      <c r="C91" s="51"/>
      <c r="D91" s="51"/>
      <c r="E91" s="51"/>
      <c r="F91" s="51"/>
      <c r="G91" s="51"/>
      <c r="H91" s="51"/>
    </row>
    <row r="92">
      <c r="A92" s="51"/>
      <c r="B92" s="51"/>
      <c r="C92" s="51"/>
      <c r="D92" s="51"/>
      <c r="E92" s="51"/>
      <c r="F92" s="51"/>
      <c r="G92" s="51"/>
      <c r="H92" s="51"/>
    </row>
    <row r="93">
      <c r="A93" s="51"/>
      <c r="B93" s="51"/>
      <c r="C93" s="51"/>
      <c r="D93" s="51"/>
      <c r="E93" s="51"/>
      <c r="F93" s="51"/>
      <c r="G93" s="51"/>
      <c r="H93" s="51"/>
    </row>
    <row r="94">
      <c r="A94" s="51"/>
      <c r="B94" s="51"/>
      <c r="C94" s="51"/>
      <c r="D94" s="51"/>
      <c r="E94" s="51"/>
      <c r="F94" s="51"/>
      <c r="G94" s="51"/>
      <c r="H94" s="51"/>
    </row>
    <row r="95">
      <c r="A95" s="51"/>
      <c r="B95" s="51"/>
      <c r="C95" s="51"/>
      <c r="D95" s="51"/>
      <c r="E95" s="51"/>
      <c r="F95" s="51"/>
      <c r="G95" s="51"/>
      <c r="H95" s="51"/>
    </row>
    <row r="96">
      <c r="A96" s="51"/>
      <c r="B96" s="51"/>
      <c r="C96" s="51"/>
      <c r="D96" s="51"/>
      <c r="E96" s="51"/>
      <c r="F96" s="51"/>
      <c r="G96" s="51"/>
      <c r="H96" s="51"/>
    </row>
    <row r="97">
      <c r="A97" s="51"/>
      <c r="B97" s="51"/>
      <c r="C97" s="51"/>
      <c r="D97" s="51"/>
      <c r="E97" s="51"/>
      <c r="F97" s="51"/>
      <c r="G97" s="51"/>
      <c r="H97" s="51"/>
    </row>
    <row r="98">
      <c r="A98" s="51"/>
      <c r="B98" s="51"/>
      <c r="C98" s="51"/>
      <c r="D98" s="51"/>
      <c r="E98" s="51"/>
      <c r="F98" s="51"/>
      <c r="G98" s="51"/>
      <c r="H98" s="51"/>
    </row>
    <row r="99">
      <c r="A99" s="51"/>
      <c r="B99" s="51"/>
      <c r="C99" s="51"/>
      <c r="D99" s="51"/>
      <c r="E99" s="51"/>
      <c r="F99" s="51"/>
      <c r="G99" s="51"/>
      <c r="H99" s="51"/>
    </row>
    <row r="100">
      <c r="A100" s="51"/>
      <c r="B100" s="51"/>
      <c r="C100" s="51"/>
      <c r="D100" s="51"/>
      <c r="E100" s="51"/>
      <c r="F100" s="51"/>
      <c r="G100" s="51"/>
      <c r="H100" s="51"/>
    </row>
    <row r="101">
      <c r="A101" s="51"/>
      <c r="B101" s="51"/>
      <c r="C101" s="51"/>
      <c r="D101" s="51"/>
      <c r="E101" s="51"/>
      <c r="F101" s="51"/>
      <c r="G101" s="51"/>
      <c r="H101" s="51"/>
    </row>
    <row r="102">
      <c r="A102" s="51"/>
      <c r="B102" s="51"/>
      <c r="C102" s="51"/>
      <c r="D102" s="51"/>
      <c r="E102" s="51"/>
      <c r="F102" s="51"/>
      <c r="G102" s="51"/>
      <c r="H102" s="51"/>
    </row>
    <row r="103">
      <c r="A103" s="51"/>
      <c r="B103" s="51"/>
      <c r="C103" s="51"/>
      <c r="D103" s="51"/>
      <c r="E103" s="51"/>
      <c r="F103" s="51"/>
      <c r="G103" s="51"/>
      <c r="H103" s="51"/>
    </row>
    <row r="104">
      <c r="A104" s="51"/>
      <c r="B104" s="51"/>
      <c r="C104" s="51"/>
      <c r="D104" s="51"/>
      <c r="E104" s="51"/>
      <c r="F104" s="51"/>
      <c r="G104" s="51"/>
      <c r="H104" s="51"/>
    </row>
    <row r="105">
      <c r="A105" s="51"/>
      <c r="B105" s="51"/>
      <c r="C105" s="51"/>
      <c r="D105" s="51"/>
      <c r="E105" s="51"/>
      <c r="F105" s="51"/>
      <c r="G105" s="51"/>
      <c r="H105" s="51"/>
    </row>
    <row r="106">
      <c r="A106" s="51"/>
      <c r="B106" s="51"/>
      <c r="C106" s="51"/>
      <c r="D106" s="51"/>
      <c r="E106" s="51"/>
      <c r="F106" s="51"/>
      <c r="G106" s="51"/>
      <c r="H106" s="51"/>
    </row>
    <row r="107">
      <c r="A107" s="51"/>
      <c r="B107" s="51"/>
      <c r="C107" s="51"/>
      <c r="D107" s="51"/>
      <c r="E107" s="51"/>
      <c r="F107" s="51"/>
      <c r="G107" s="51"/>
      <c r="H107" s="51"/>
    </row>
    <row r="108">
      <c r="A108" s="51"/>
      <c r="B108" s="51"/>
      <c r="C108" s="51"/>
      <c r="D108" s="51"/>
      <c r="E108" s="51"/>
      <c r="F108" s="51"/>
      <c r="G108" s="51"/>
      <c r="H108" s="51"/>
    </row>
    <row r="109">
      <c r="A109" s="51"/>
      <c r="B109" s="51"/>
      <c r="C109" s="51"/>
      <c r="D109" s="51"/>
      <c r="E109" s="51"/>
      <c r="F109" s="51"/>
      <c r="G109" s="51"/>
      <c r="H109" s="51"/>
    </row>
    <row r="110">
      <c r="A110" s="51"/>
      <c r="B110" s="51"/>
      <c r="C110" s="51"/>
      <c r="D110" s="51"/>
      <c r="E110" s="51"/>
      <c r="F110" s="51"/>
      <c r="G110" s="51"/>
      <c r="H110" s="51"/>
    </row>
    <row r="111">
      <c r="A111" s="51"/>
      <c r="B111" s="51"/>
      <c r="C111" s="51"/>
      <c r="D111" s="51"/>
      <c r="E111" s="51"/>
      <c r="F111" s="51"/>
      <c r="G111" s="51"/>
      <c r="H111" s="51"/>
    </row>
    <row r="112">
      <c r="A112" s="51"/>
      <c r="B112" s="51"/>
      <c r="C112" s="51"/>
      <c r="D112" s="51"/>
      <c r="E112" s="51"/>
      <c r="F112" s="51"/>
      <c r="G112" s="51"/>
      <c r="H112" s="51"/>
    </row>
    <row r="113">
      <c r="A113" s="51"/>
      <c r="B113" s="51"/>
      <c r="C113" s="51"/>
      <c r="D113" s="51"/>
      <c r="E113" s="51"/>
      <c r="F113" s="51"/>
      <c r="G113" s="51"/>
      <c r="H113" s="51"/>
    </row>
    <row r="114">
      <c r="A114" s="51"/>
      <c r="B114" s="51"/>
      <c r="C114" s="51"/>
      <c r="D114" s="51"/>
      <c r="E114" s="51"/>
      <c r="F114" s="51"/>
      <c r="G114" s="51"/>
      <c r="H114" s="51"/>
    </row>
    <row r="115">
      <c r="A115" s="51"/>
      <c r="B115" s="51"/>
      <c r="C115" s="51"/>
      <c r="D115" s="51"/>
      <c r="E115" s="51"/>
      <c r="F115" s="51"/>
      <c r="G115" s="51"/>
      <c r="H115" s="51"/>
    </row>
    <row r="116">
      <c r="A116" s="51"/>
      <c r="B116" s="51"/>
      <c r="C116" s="51"/>
      <c r="D116" s="51"/>
      <c r="E116" s="51"/>
      <c r="F116" s="51"/>
      <c r="G116" s="51"/>
      <c r="H116" s="51"/>
    </row>
    <row r="117">
      <c r="A117" s="51"/>
      <c r="B117" s="51"/>
      <c r="C117" s="51"/>
      <c r="D117" s="51"/>
      <c r="E117" s="51"/>
      <c r="F117" s="51"/>
      <c r="G117" s="51"/>
      <c r="H117" s="51"/>
    </row>
    <row r="118">
      <c r="A118" s="51"/>
      <c r="B118" s="51"/>
      <c r="C118" s="51"/>
      <c r="D118" s="51"/>
      <c r="E118" s="51"/>
      <c r="F118" s="51"/>
      <c r="G118" s="51"/>
      <c r="H118" s="51"/>
    </row>
    <row r="119">
      <c r="A119" s="51"/>
      <c r="B119" s="51"/>
      <c r="C119" s="51"/>
      <c r="D119" s="51"/>
      <c r="E119" s="51"/>
      <c r="F119" s="51"/>
      <c r="G119" s="51"/>
      <c r="H119" s="51"/>
    </row>
    <row r="120">
      <c r="A120" s="51"/>
      <c r="B120" s="51"/>
      <c r="C120" s="51"/>
      <c r="D120" s="51"/>
      <c r="E120" s="51"/>
      <c r="F120" s="51"/>
      <c r="G120" s="51"/>
      <c r="H120" s="51"/>
    </row>
  </sheetData>
  <mergeCells count="4">
    <mergeCell ref="A1:H1"/>
    <mergeCell ref="A2:B2"/>
    <mergeCell ref="D2:F2"/>
    <mergeCell ref="A7:F7"/>
  </mergeCells>
  <conditionalFormatting sqref="E3:E4">
    <cfRule type="cellIs" dxfId="0" priority="1" stopIfTrue="1" operator="greaterThan">
      <formula>0</formula>
    </cfRule>
  </conditionalFormatting>
  <conditionalFormatting sqref="E3:E4">
    <cfRule type="cellIs" dxfId="1" priority="2" stopIfTrue="1" operator="lessThan">
      <formula>0</formula>
    </cfRule>
  </conditionalFormatting>
  <dataValidations>
    <dataValidation type="list" allowBlank="1" showErrorMessage="1" sqref="K2">
      <formula1>"TRUE,FALSE"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52" t="s">
        <v>26</v>
      </c>
      <c r="B1" s="52" t="s">
        <v>27</v>
      </c>
      <c r="C1" s="52" t="s">
        <v>28</v>
      </c>
      <c r="D1" s="52" t="s">
        <v>29</v>
      </c>
      <c r="E1" s="52" t="s">
        <v>30</v>
      </c>
      <c r="F1" s="52" t="s">
        <v>31</v>
      </c>
      <c r="G1" s="52" t="s">
        <v>32</v>
      </c>
      <c r="H1" s="53"/>
      <c r="I1" s="53"/>
      <c r="J1" s="54"/>
      <c r="K1" s="54"/>
      <c r="L1" s="54"/>
      <c r="M1" s="54"/>
      <c r="N1" s="53"/>
      <c r="O1" s="54"/>
      <c r="P1" s="54"/>
      <c r="Q1" s="54"/>
      <c r="R1" s="54"/>
      <c r="S1" s="54"/>
      <c r="T1" s="53"/>
      <c r="U1" s="51"/>
      <c r="V1" s="51"/>
      <c r="W1" s="51"/>
      <c r="X1" s="51"/>
      <c r="Y1" s="51"/>
      <c r="Z1" s="51"/>
    </row>
    <row r="2">
      <c r="A2" s="55">
        <v>46076.63113425926</v>
      </c>
      <c r="B2" s="54" t="s">
        <v>33</v>
      </c>
      <c r="C2" s="56" t="s">
        <v>34</v>
      </c>
      <c r="D2" s="54" t="s">
        <v>35</v>
      </c>
      <c r="E2" s="57">
        <v>0.73</v>
      </c>
      <c r="F2" s="57">
        <v>189.82</v>
      </c>
      <c r="G2" s="57">
        <v>140.07</v>
      </c>
      <c r="H2" s="53"/>
      <c r="I2" s="53"/>
      <c r="J2" s="58"/>
      <c r="K2" s="54"/>
      <c r="L2" s="59"/>
      <c r="M2" s="54"/>
      <c r="N2" s="53"/>
      <c r="O2" s="54"/>
      <c r="P2" s="58"/>
      <c r="Q2" s="54"/>
      <c r="R2" s="54"/>
      <c r="S2" s="59"/>
      <c r="T2" s="53"/>
      <c r="U2" s="51"/>
      <c r="V2" s="51"/>
      <c r="W2" s="51"/>
      <c r="X2" s="51"/>
      <c r="Y2" s="51"/>
      <c r="Z2" s="51"/>
    </row>
    <row r="3">
      <c r="A3" s="60">
        <v>46076.63113425926</v>
      </c>
      <c r="B3" s="61" t="s">
        <v>33</v>
      </c>
      <c r="C3" s="62" t="s">
        <v>36</v>
      </c>
      <c r="D3" s="61" t="s">
        <v>37</v>
      </c>
      <c r="E3" s="63">
        <v>15.14</v>
      </c>
      <c r="F3" s="63">
        <v>100.57</v>
      </c>
      <c r="G3" s="63">
        <v>1521.58</v>
      </c>
      <c r="H3" s="64"/>
      <c r="I3" s="65"/>
      <c r="J3" s="66"/>
      <c r="K3" s="61"/>
      <c r="L3" s="67"/>
      <c r="M3" s="61"/>
      <c r="N3" s="65"/>
      <c r="O3" s="61"/>
      <c r="P3" s="66"/>
      <c r="Q3" s="61"/>
      <c r="R3" s="61"/>
      <c r="S3" s="67"/>
      <c r="T3" s="65"/>
      <c r="U3" s="51"/>
      <c r="V3" s="51"/>
      <c r="W3" s="51"/>
      <c r="X3" s="51"/>
      <c r="Y3" s="51"/>
      <c r="Z3" s="51"/>
    </row>
    <row r="4">
      <c r="A4" s="60">
        <v>46076.63113425926</v>
      </c>
      <c r="B4" s="61" t="s">
        <v>33</v>
      </c>
      <c r="C4" s="62" t="s">
        <v>38</v>
      </c>
      <c r="D4" s="61" t="s">
        <v>39</v>
      </c>
      <c r="E4" s="63">
        <v>1.23</v>
      </c>
      <c r="F4" s="63">
        <v>411.82</v>
      </c>
      <c r="G4" s="63">
        <v>525.26</v>
      </c>
      <c r="H4" s="64"/>
      <c r="I4" s="65"/>
      <c r="J4" s="66"/>
      <c r="K4" s="61"/>
      <c r="L4" s="67"/>
      <c r="M4" s="61"/>
      <c r="N4" s="65"/>
      <c r="O4" s="61"/>
      <c r="P4" s="66"/>
      <c r="Q4" s="61"/>
      <c r="R4" s="61"/>
      <c r="S4" s="67"/>
      <c r="T4" s="65"/>
      <c r="U4" s="51"/>
      <c r="V4" s="51"/>
      <c r="W4" s="51"/>
      <c r="X4" s="51"/>
      <c r="Y4" s="51"/>
      <c r="Z4" s="51"/>
    </row>
    <row r="5">
      <c r="A5" s="60">
        <v>46076.63113425926</v>
      </c>
      <c r="B5" s="61" t="s">
        <v>33</v>
      </c>
      <c r="C5" s="62" t="s">
        <v>40</v>
      </c>
      <c r="D5" s="61" t="s">
        <v>41</v>
      </c>
      <c r="E5" s="63">
        <v>1.73</v>
      </c>
      <c r="F5" s="63">
        <v>608.81</v>
      </c>
      <c r="G5" s="63">
        <v>1064.52</v>
      </c>
      <c r="H5" s="64"/>
      <c r="I5" s="65"/>
      <c r="J5" s="66"/>
      <c r="K5" s="61"/>
      <c r="L5" s="67"/>
      <c r="M5" s="61"/>
      <c r="N5" s="65"/>
      <c r="O5" s="61"/>
      <c r="P5" s="66"/>
      <c r="Q5" s="61"/>
      <c r="R5" s="61"/>
      <c r="S5" s="67"/>
      <c r="T5" s="65"/>
      <c r="U5" s="51"/>
      <c r="V5" s="51"/>
      <c r="W5" s="51"/>
      <c r="X5" s="51"/>
      <c r="Y5" s="51"/>
      <c r="Z5" s="51"/>
    </row>
    <row r="6">
      <c r="A6" s="60">
        <v>46076.63113425926</v>
      </c>
      <c r="B6" s="61" t="s">
        <v>33</v>
      </c>
      <c r="C6" s="61" t="s">
        <v>42</v>
      </c>
      <c r="D6" s="61" t="s">
        <v>43</v>
      </c>
      <c r="E6" s="63">
        <v>571.73</v>
      </c>
      <c r="F6" s="63">
        <v>1.0</v>
      </c>
      <c r="G6" s="63">
        <v>571.73</v>
      </c>
      <c r="H6" s="64"/>
      <c r="I6" s="65"/>
      <c r="J6" s="66"/>
      <c r="K6" s="61"/>
      <c r="L6" s="67"/>
      <c r="M6" s="61"/>
      <c r="N6" s="65"/>
      <c r="O6" s="61"/>
      <c r="P6" s="66"/>
      <c r="Q6" s="61"/>
      <c r="R6" s="61"/>
      <c r="S6" s="67"/>
      <c r="T6" s="65"/>
      <c r="U6" s="51"/>
      <c r="V6" s="51"/>
      <c r="W6" s="51"/>
      <c r="X6" s="51"/>
      <c r="Y6" s="51"/>
      <c r="Z6" s="51"/>
    </row>
    <row r="7">
      <c r="A7" s="60">
        <v>46076.63113425926</v>
      </c>
      <c r="B7" s="61" t="s">
        <v>44</v>
      </c>
      <c r="C7" s="62" t="s">
        <v>45</v>
      </c>
      <c r="D7" s="61" t="s">
        <v>46</v>
      </c>
      <c r="E7" s="63">
        <v>1.0</v>
      </c>
      <c r="F7" s="63">
        <v>1410.13</v>
      </c>
      <c r="G7" s="63">
        <v>1410.13</v>
      </c>
      <c r="H7" s="64"/>
      <c r="I7" s="65"/>
      <c r="J7" s="66"/>
      <c r="K7" s="61"/>
      <c r="L7" s="67"/>
      <c r="M7" s="61"/>
      <c r="N7" s="65"/>
      <c r="O7" s="65"/>
      <c r="P7" s="65"/>
      <c r="Q7" s="65"/>
      <c r="R7" s="65"/>
      <c r="S7" s="65"/>
      <c r="T7" s="65"/>
      <c r="U7" s="51"/>
      <c r="V7" s="51"/>
      <c r="W7" s="51"/>
      <c r="X7" s="51"/>
      <c r="Y7" s="51"/>
      <c r="Z7" s="51"/>
    </row>
    <row r="8">
      <c r="A8" s="65"/>
      <c r="B8" s="65"/>
      <c r="C8" s="65"/>
      <c r="D8" s="61"/>
      <c r="E8" s="64"/>
      <c r="F8" s="64"/>
      <c r="G8" s="64"/>
      <c r="H8" s="64"/>
      <c r="I8" s="65"/>
      <c r="J8" s="66"/>
      <c r="K8" s="61"/>
      <c r="L8" s="67"/>
      <c r="M8" s="61"/>
      <c r="N8" s="65"/>
      <c r="O8" s="65"/>
      <c r="P8" s="65"/>
      <c r="Q8" s="65"/>
      <c r="R8" s="65"/>
      <c r="S8" s="65"/>
      <c r="T8" s="65"/>
      <c r="U8" s="51"/>
      <c r="V8" s="51"/>
      <c r="W8" s="51"/>
      <c r="X8" s="51"/>
      <c r="Y8" s="51"/>
      <c r="Z8" s="51"/>
    </row>
    <row r="9">
      <c r="A9" s="65"/>
      <c r="B9" s="65"/>
      <c r="C9" s="65"/>
      <c r="D9" s="65"/>
      <c r="E9" s="64"/>
      <c r="F9" s="64"/>
      <c r="G9" s="64"/>
      <c r="H9" s="64"/>
      <c r="I9" s="65"/>
      <c r="J9" s="66"/>
      <c r="K9" s="61"/>
      <c r="L9" s="67"/>
      <c r="M9" s="61"/>
      <c r="N9" s="65"/>
      <c r="O9" s="65"/>
      <c r="P9" s="65"/>
      <c r="Q9" s="65"/>
      <c r="R9" s="65"/>
      <c r="S9" s="65"/>
      <c r="T9" s="65"/>
      <c r="U9" s="51"/>
      <c r="V9" s="51"/>
      <c r="W9" s="51"/>
      <c r="X9" s="51"/>
      <c r="Y9" s="51"/>
      <c r="Z9" s="51"/>
    </row>
    <row r="10">
      <c r="A10" s="65"/>
      <c r="B10" s="65"/>
      <c r="C10" s="65"/>
      <c r="D10" s="65"/>
      <c r="E10" s="64"/>
      <c r="F10" s="64"/>
      <c r="G10" s="64"/>
      <c r="H10" s="64"/>
      <c r="I10" s="65"/>
      <c r="J10" s="66"/>
      <c r="K10" s="61"/>
      <c r="L10" s="67"/>
      <c r="M10" s="61"/>
      <c r="N10" s="65"/>
      <c r="O10" s="65"/>
      <c r="P10" s="65"/>
      <c r="Q10" s="65"/>
      <c r="R10" s="65"/>
      <c r="S10" s="65"/>
      <c r="T10" s="65"/>
      <c r="U10" s="51"/>
      <c r="V10" s="51"/>
      <c r="W10" s="51"/>
      <c r="X10" s="51"/>
      <c r="Y10" s="51"/>
      <c r="Z10" s="51"/>
    </row>
    <row r="11">
      <c r="A11" s="65"/>
      <c r="B11" s="65"/>
      <c r="C11" s="65"/>
      <c r="D11" s="65"/>
      <c r="E11" s="64"/>
      <c r="F11" s="64"/>
      <c r="G11" s="64"/>
      <c r="H11" s="64"/>
      <c r="I11" s="65"/>
      <c r="J11" s="66"/>
      <c r="K11" s="61"/>
      <c r="L11" s="67"/>
      <c r="M11" s="61"/>
      <c r="N11" s="65"/>
      <c r="O11" s="65"/>
      <c r="P11" s="65"/>
      <c r="Q11" s="65"/>
      <c r="R11" s="65"/>
      <c r="S11" s="65"/>
      <c r="T11" s="65"/>
      <c r="U11" s="51"/>
      <c r="V11" s="51"/>
      <c r="W11" s="51"/>
      <c r="X11" s="51"/>
      <c r="Y11" s="51"/>
      <c r="Z11" s="51"/>
    </row>
    <row r="12">
      <c r="A12" s="65"/>
      <c r="B12" s="65"/>
      <c r="C12" s="65"/>
      <c r="D12" s="65"/>
      <c r="E12" s="64"/>
      <c r="F12" s="64"/>
      <c r="G12" s="64"/>
      <c r="H12" s="64"/>
      <c r="I12" s="65"/>
      <c r="J12" s="66"/>
      <c r="K12" s="61"/>
      <c r="L12" s="67"/>
      <c r="M12" s="61"/>
      <c r="N12" s="65"/>
      <c r="O12" s="65"/>
      <c r="P12" s="65"/>
      <c r="Q12" s="65"/>
      <c r="R12" s="65"/>
      <c r="S12" s="65"/>
      <c r="T12" s="65"/>
      <c r="U12" s="51"/>
      <c r="V12" s="51"/>
      <c r="W12" s="51"/>
      <c r="X12" s="51"/>
      <c r="Y12" s="51"/>
      <c r="Z12" s="51"/>
    </row>
    <row r="13">
      <c r="A13" s="65"/>
      <c r="B13" s="65"/>
      <c r="C13" s="65"/>
      <c r="D13" s="65"/>
      <c r="E13" s="64"/>
      <c r="F13" s="64"/>
      <c r="G13" s="64"/>
      <c r="H13" s="64"/>
      <c r="I13" s="65"/>
      <c r="J13" s="66"/>
      <c r="K13" s="61"/>
      <c r="L13" s="67"/>
      <c r="M13" s="61"/>
      <c r="N13" s="65"/>
      <c r="O13" s="65"/>
      <c r="P13" s="65"/>
      <c r="Q13" s="65"/>
      <c r="R13" s="65"/>
      <c r="S13" s="65"/>
      <c r="T13" s="65"/>
      <c r="U13" s="51"/>
      <c r="V13" s="51"/>
      <c r="W13" s="51"/>
      <c r="X13" s="51"/>
      <c r="Y13" s="51"/>
      <c r="Z13" s="51"/>
    </row>
    <row r="14">
      <c r="A14" s="65"/>
      <c r="B14" s="65"/>
      <c r="C14" s="65"/>
      <c r="D14" s="65"/>
      <c r="E14" s="64"/>
      <c r="F14" s="64"/>
      <c r="G14" s="64"/>
      <c r="H14" s="64"/>
      <c r="I14" s="65"/>
      <c r="J14" s="66"/>
      <c r="K14" s="61"/>
      <c r="L14" s="67"/>
      <c r="M14" s="61"/>
      <c r="N14" s="65"/>
      <c r="O14" s="65"/>
      <c r="P14" s="65"/>
      <c r="Q14" s="65"/>
      <c r="R14" s="65"/>
      <c r="S14" s="65"/>
      <c r="T14" s="65"/>
      <c r="U14" s="51"/>
      <c r="V14" s="51"/>
      <c r="W14" s="51"/>
      <c r="X14" s="51"/>
      <c r="Y14" s="51"/>
      <c r="Z14" s="51"/>
    </row>
    <row r="15">
      <c r="A15" s="65"/>
      <c r="B15" s="65"/>
      <c r="C15" s="65"/>
      <c r="D15" s="65"/>
      <c r="E15" s="64"/>
      <c r="F15" s="64"/>
      <c r="G15" s="64"/>
      <c r="H15" s="64"/>
      <c r="I15" s="65"/>
      <c r="J15" s="66"/>
      <c r="K15" s="61"/>
      <c r="L15" s="67"/>
      <c r="M15" s="61"/>
      <c r="N15" s="65"/>
      <c r="O15" s="65"/>
      <c r="P15" s="65"/>
      <c r="Q15" s="65"/>
      <c r="R15" s="65"/>
      <c r="S15" s="65"/>
      <c r="T15" s="65"/>
      <c r="U15" s="51"/>
      <c r="V15" s="51"/>
      <c r="W15" s="51"/>
      <c r="X15" s="51"/>
      <c r="Y15" s="51"/>
      <c r="Z15" s="51"/>
    </row>
    <row r="16">
      <c r="A16" s="65"/>
      <c r="B16" s="65"/>
      <c r="C16" s="65"/>
      <c r="D16" s="65"/>
      <c r="E16" s="64"/>
      <c r="F16" s="64"/>
      <c r="G16" s="64"/>
      <c r="H16" s="64"/>
      <c r="I16" s="65"/>
      <c r="J16" s="66"/>
      <c r="K16" s="61"/>
      <c r="L16" s="67"/>
      <c r="M16" s="61"/>
      <c r="N16" s="65"/>
      <c r="O16" s="65"/>
      <c r="P16" s="65"/>
      <c r="Q16" s="65"/>
      <c r="R16" s="65"/>
      <c r="S16" s="65"/>
      <c r="T16" s="65"/>
      <c r="U16" s="51"/>
      <c r="V16" s="51"/>
      <c r="W16" s="51"/>
      <c r="X16" s="51"/>
      <c r="Y16" s="51"/>
      <c r="Z16" s="51"/>
    </row>
    <row r="17">
      <c r="A17" s="65"/>
      <c r="B17" s="65"/>
      <c r="C17" s="65"/>
      <c r="D17" s="65"/>
      <c r="E17" s="64"/>
      <c r="F17" s="64"/>
      <c r="G17" s="64"/>
      <c r="H17" s="64"/>
      <c r="I17" s="65"/>
      <c r="J17" s="66"/>
      <c r="K17" s="61"/>
      <c r="L17" s="67"/>
      <c r="M17" s="61"/>
      <c r="N17" s="65"/>
      <c r="O17" s="65"/>
      <c r="P17" s="65"/>
      <c r="Q17" s="65"/>
      <c r="R17" s="65"/>
      <c r="S17" s="65"/>
      <c r="T17" s="65"/>
      <c r="U17" s="51"/>
      <c r="V17" s="51"/>
      <c r="W17" s="51"/>
      <c r="X17" s="51"/>
      <c r="Y17" s="51"/>
      <c r="Z17" s="51"/>
    </row>
    <row r="18">
      <c r="A18" s="65"/>
      <c r="B18" s="65"/>
      <c r="C18" s="65"/>
      <c r="D18" s="65"/>
      <c r="E18" s="64"/>
      <c r="F18" s="64"/>
      <c r="G18" s="64"/>
      <c r="H18" s="64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51"/>
      <c r="V18" s="51"/>
      <c r="W18" s="51"/>
      <c r="X18" s="51"/>
      <c r="Y18" s="51"/>
      <c r="Z18" s="51"/>
    </row>
    <row r="19">
      <c r="A19" s="65"/>
      <c r="B19" s="65"/>
      <c r="C19" s="65"/>
      <c r="D19" s="65"/>
      <c r="E19" s="64"/>
      <c r="F19" s="64"/>
      <c r="G19" s="64"/>
      <c r="H19" s="64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51"/>
      <c r="V19" s="51"/>
      <c r="W19" s="51"/>
      <c r="X19" s="51"/>
      <c r="Y19" s="51"/>
      <c r="Z19" s="51"/>
    </row>
    <row r="20">
      <c r="A20" s="65"/>
      <c r="B20" s="65"/>
      <c r="C20" s="65"/>
      <c r="D20" s="65"/>
      <c r="E20" s="64"/>
      <c r="F20" s="64"/>
      <c r="G20" s="64"/>
      <c r="H20" s="64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51"/>
      <c r="V20" s="51"/>
      <c r="W20" s="51"/>
      <c r="X20" s="51"/>
      <c r="Y20" s="51"/>
      <c r="Z20" s="51"/>
    </row>
    <row r="21">
      <c r="A21" s="65"/>
      <c r="B21" s="65"/>
      <c r="C21" s="65"/>
      <c r="D21" s="65"/>
      <c r="E21" s="64"/>
      <c r="F21" s="64"/>
      <c r="G21" s="64"/>
      <c r="H21" s="64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51"/>
      <c r="V21" s="51"/>
      <c r="W21" s="51"/>
      <c r="X21" s="51"/>
      <c r="Y21" s="51"/>
      <c r="Z21" s="51"/>
    </row>
    <row r="22">
      <c r="A22" s="65"/>
      <c r="B22" s="65"/>
      <c r="C22" s="65"/>
      <c r="D22" s="65"/>
      <c r="E22" s="64"/>
      <c r="F22" s="64"/>
      <c r="G22" s="64"/>
      <c r="H22" s="64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51"/>
      <c r="V22" s="51"/>
      <c r="W22" s="51"/>
      <c r="X22" s="51"/>
      <c r="Y22" s="51"/>
      <c r="Z22" s="51"/>
    </row>
    <row r="23">
      <c r="A23" s="65"/>
      <c r="B23" s="65"/>
      <c r="C23" s="65"/>
      <c r="D23" s="65"/>
      <c r="E23" s="64"/>
      <c r="F23" s="64"/>
      <c r="G23" s="64"/>
      <c r="H23" s="64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51"/>
      <c r="V23" s="51"/>
      <c r="W23" s="51"/>
      <c r="X23" s="51"/>
      <c r="Y23" s="51"/>
      <c r="Z23" s="51"/>
    </row>
    <row r="24">
      <c r="A24" s="65"/>
      <c r="B24" s="65"/>
      <c r="C24" s="65"/>
      <c r="D24" s="65"/>
      <c r="E24" s="64"/>
      <c r="F24" s="64"/>
      <c r="G24" s="64"/>
      <c r="H24" s="64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51"/>
      <c r="V24" s="51"/>
      <c r="W24" s="51"/>
      <c r="X24" s="51"/>
      <c r="Y24" s="51"/>
      <c r="Z24" s="51"/>
    </row>
    <row r="25">
      <c r="A25" s="65"/>
      <c r="B25" s="65"/>
      <c r="C25" s="65"/>
      <c r="D25" s="65"/>
      <c r="E25" s="64"/>
      <c r="F25" s="64"/>
      <c r="G25" s="64"/>
      <c r="H25" s="64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51"/>
      <c r="V25" s="51"/>
      <c r="W25" s="51"/>
      <c r="X25" s="51"/>
      <c r="Y25" s="51"/>
      <c r="Z25" s="51"/>
    </row>
    <row r="26">
      <c r="A26" s="65"/>
      <c r="B26" s="65"/>
      <c r="C26" s="65"/>
      <c r="D26" s="65"/>
      <c r="E26" s="64"/>
      <c r="F26" s="64"/>
      <c r="G26" s="64"/>
      <c r="H26" s="64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51"/>
      <c r="V26" s="51"/>
      <c r="W26" s="51"/>
      <c r="X26" s="51"/>
      <c r="Y26" s="51"/>
      <c r="Z26" s="51"/>
    </row>
    <row r="27">
      <c r="A27" s="65"/>
      <c r="B27" s="65"/>
      <c r="C27" s="65"/>
      <c r="D27" s="65"/>
      <c r="E27" s="64"/>
      <c r="F27" s="64"/>
      <c r="G27" s="64"/>
      <c r="H27" s="64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51"/>
      <c r="V27" s="51"/>
      <c r="W27" s="51"/>
      <c r="X27" s="51"/>
      <c r="Y27" s="51"/>
      <c r="Z27" s="51"/>
    </row>
    <row r="28">
      <c r="A28" s="65"/>
      <c r="B28" s="65"/>
      <c r="C28" s="65"/>
      <c r="D28" s="65"/>
      <c r="E28" s="64"/>
      <c r="F28" s="64"/>
      <c r="G28" s="64"/>
      <c r="H28" s="64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51"/>
      <c r="V28" s="51"/>
      <c r="W28" s="51"/>
      <c r="X28" s="51"/>
      <c r="Y28" s="51"/>
      <c r="Z28" s="51"/>
    </row>
    <row r="29">
      <c r="A29" s="65"/>
      <c r="B29" s="65"/>
      <c r="C29" s="65"/>
      <c r="D29" s="65"/>
      <c r="E29" s="64"/>
      <c r="F29" s="64"/>
      <c r="G29" s="64"/>
      <c r="H29" s="64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51"/>
      <c r="V29" s="51"/>
      <c r="W29" s="51"/>
      <c r="X29" s="51"/>
      <c r="Y29" s="51"/>
      <c r="Z29" s="51"/>
    </row>
    <row r="30">
      <c r="A30" s="65"/>
      <c r="B30" s="65"/>
      <c r="C30" s="65"/>
      <c r="D30" s="65"/>
      <c r="E30" s="64"/>
      <c r="F30" s="64"/>
      <c r="G30" s="64"/>
      <c r="H30" s="64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51"/>
      <c r="V30" s="51"/>
      <c r="W30" s="51"/>
      <c r="X30" s="51"/>
      <c r="Y30" s="51"/>
      <c r="Z30" s="51"/>
    </row>
    <row r="31">
      <c r="A31" s="65"/>
      <c r="B31" s="65"/>
      <c r="C31" s="65"/>
      <c r="D31" s="65"/>
      <c r="E31" s="64"/>
      <c r="F31" s="64"/>
      <c r="G31" s="64"/>
      <c r="H31" s="64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51"/>
      <c r="V31" s="51"/>
      <c r="W31" s="51"/>
      <c r="X31" s="51"/>
      <c r="Y31" s="51"/>
      <c r="Z31" s="51"/>
    </row>
    <row r="32">
      <c r="A32" s="65"/>
      <c r="B32" s="65"/>
      <c r="C32" s="65"/>
      <c r="D32" s="65"/>
      <c r="E32" s="64"/>
      <c r="F32" s="64"/>
      <c r="G32" s="64"/>
      <c r="H32" s="64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51"/>
      <c r="V32" s="51"/>
      <c r="W32" s="51"/>
      <c r="X32" s="51"/>
      <c r="Y32" s="51"/>
      <c r="Z32" s="51"/>
    </row>
    <row r="33">
      <c r="A33" s="65"/>
      <c r="B33" s="65"/>
      <c r="C33" s="65"/>
      <c r="D33" s="65"/>
      <c r="E33" s="64"/>
      <c r="F33" s="64"/>
      <c r="G33" s="64"/>
      <c r="H33" s="64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51"/>
      <c r="V33" s="51"/>
      <c r="W33" s="51"/>
      <c r="X33" s="51"/>
      <c r="Y33" s="51"/>
      <c r="Z33" s="51"/>
    </row>
    <row r="34">
      <c r="A34" s="65"/>
      <c r="B34" s="65"/>
      <c r="C34" s="65"/>
      <c r="D34" s="65"/>
      <c r="E34" s="64"/>
      <c r="F34" s="64"/>
      <c r="G34" s="64"/>
      <c r="H34" s="64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51"/>
      <c r="V34" s="51"/>
      <c r="W34" s="51"/>
      <c r="X34" s="51"/>
      <c r="Y34" s="51"/>
      <c r="Z34" s="51"/>
    </row>
    <row r="35">
      <c r="A35" s="65"/>
      <c r="B35" s="65"/>
      <c r="C35" s="65"/>
      <c r="D35" s="65"/>
      <c r="E35" s="64"/>
      <c r="F35" s="64"/>
      <c r="G35" s="64"/>
      <c r="H35" s="64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51"/>
      <c r="V35" s="51"/>
      <c r="W35" s="51"/>
      <c r="X35" s="51"/>
      <c r="Y35" s="51"/>
      <c r="Z35" s="51"/>
    </row>
    <row r="36">
      <c r="A36" s="65"/>
      <c r="B36" s="65"/>
      <c r="C36" s="65"/>
      <c r="D36" s="65"/>
      <c r="E36" s="64"/>
      <c r="F36" s="64"/>
      <c r="G36" s="64"/>
      <c r="H36" s="64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51"/>
      <c r="V36" s="51"/>
      <c r="W36" s="51"/>
      <c r="X36" s="51"/>
      <c r="Y36" s="51"/>
      <c r="Z36" s="51"/>
    </row>
    <row r="37">
      <c r="A37" s="65"/>
      <c r="B37" s="65"/>
      <c r="C37" s="65"/>
      <c r="D37" s="65"/>
      <c r="E37" s="64"/>
      <c r="F37" s="64"/>
      <c r="G37" s="64"/>
      <c r="H37" s="64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51"/>
      <c r="V37" s="51"/>
      <c r="W37" s="51"/>
      <c r="X37" s="51"/>
      <c r="Y37" s="51"/>
      <c r="Z37" s="51"/>
    </row>
    <row r="38">
      <c r="A38" s="65"/>
      <c r="B38" s="65"/>
      <c r="C38" s="65"/>
      <c r="D38" s="65"/>
      <c r="E38" s="64"/>
      <c r="F38" s="64"/>
      <c r="G38" s="64"/>
      <c r="H38" s="64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51"/>
      <c r="V38" s="51"/>
      <c r="W38" s="51"/>
      <c r="X38" s="51"/>
      <c r="Y38" s="51"/>
      <c r="Z38" s="51"/>
    </row>
    <row r="39">
      <c r="A39" s="65"/>
      <c r="B39" s="65"/>
      <c r="C39" s="65"/>
      <c r="D39" s="65"/>
      <c r="E39" s="64"/>
      <c r="F39" s="64"/>
      <c r="G39" s="64"/>
      <c r="H39" s="64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51"/>
      <c r="V39" s="51"/>
      <c r="W39" s="51"/>
      <c r="X39" s="51"/>
      <c r="Y39" s="51"/>
      <c r="Z39" s="51"/>
    </row>
    <row r="40">
      <c r="A40" s="65"/>
      <c r="B40" s="65"/>
      <c r="C40" s="65"/>
      <c r="D40" s="65"/>
      <c r="E40" s="64"/>
      <c r="F40" s="64"/>
      <c r="G40" s="64"/>
      <c r="H40" s="64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51"/>
      <c r="V40" s="51"/>
      <c r="W40" s="51"/>
      <c r="X40" s="51"/>
      <c r="Y40" s="51"/>
      <c r="Z40" s="51"/>
    </row>
    <row r="41">
      <c r="A41" s="65"/>
      <c r="B41" s="65"/>
      <c r="C41" s="65"/>
      <c r="D41" s="65"/>
      <c r="E41" s="64"/>
      <c r="F41" s="64"/>
      <c r="G41" s="64"/>
      <c r="H41" s="64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51"/>
      <c r="V41" s="51"/>
      <c r="W41" s="51"/>
      <c r="X41" s="51"/>
      <c r="Y41" s="51"/>
      <c r="Z41" s="51"/>
    </row>
    <row r="42">
      <c r="A42" s="65"/>
      <c r="B42" s="65"/>
      <c r="C42" s="65"/>
      <c r="D42" s="65"/>
      <c r="E42" s="64"/>
      <c r="F42" s="64"/>
      <c r="G42" s="64"/>
      <c r="H42" s="64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51"/>
      <c r="V42" s="51"/>
      <c r="W42" s="51"/>
      <c r="X42" s="51"/>
      <c r="Y42" s="51"/>
      <c r="Z42" s="51"/>
    </row>
    <row r="43">
      <c r="A43" s="65"/>
      <c r="B43" s="65"/>
      <c r="C43" s="65"/>
      <c r="D43" s="65"/>
      <c r="E43" s="64"/>
      <c r="F43" s="64"/>
      <c r="G43" s="64"/>
      <c r="H43" s="64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51"/>
      <c r="V43" s="51"/>
      <c r="W43" s="51"/>
      <c r="X43" s="51"/>
      <c r="Y43" s="51"/>
      <c r="Z43" s="51"/>
    </row>
    <row r="44">
      <c r="A44" s="65"/>
      <c r="B44" s="65"/>
      <c r="C44" s="65"/>
      <c r="D44" s="65"/>
      <c r="E44" s="64"/>
      <c r="F44" s="64"/>
      <c r="G44" s="64"/>
      <c r="H44" s="64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51"/>
      <c r="V44" s="51"/>
      <c r="W44" s="51"/>
      <c r="X44" s="51"/>
      <c r="Y44" s="51"/>
      <c r="Z44" s="51"/>
    </row>
    <row r="45">
      <c r="A45" s="65"/>
      <c r="B45" s="65"/>
      <c r="C45" s="65"/>
      <c r="D45" s="65"/>
      <c r="E45" s="64"/>
      <c r="F45" s="64"/>
      <c r="G45" s="64"/>
      <c r="H45" s="64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51"/>
      <c r="V45" s="51"/>
      <c r="W45" s="51"/>
      <c r="X45" s="51"/>
      <c r="Y45" s="51"/>
      <c r="Z45" s="51"/>
    </row>
    <row r="46">
      <c r="A46" s="65"/>
      <c r="B46" s="65"/>
      <c r="C46" s="65"/>
      <c r="D46" s="65"/>
      <c r="E46" s="64"/>
      <c r="F46" s="64"/>
      <c r="G46" s="64"/>
      <c r="H46" s="64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51"/>
      <c r="V46" s="51"/>
      <c r="W46" s="51"/>
      <c r="X46" s="51"/>
      <c r="Y46" s="51"/>
      <c r="Z46" s="51"/>
    </row>
    <row r="47">
      <c r="A47" s="65"/>
      <c r="B47" s="65"/>
      <c r="C47" s="65"/>
      <c r="D47" s="65"/>
      <c r="E47" s="64"/>
      <c r="F47" s="64"/>
      <c r="G47" s="64"/>
      <c r="H47" s="64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51"/>
      <c r="V47" s="51"/>
      <c r="W47" s="51"/>
      <c r="X47" s="51"/>
      <c r="Y47" s="51"/>
      <c r="Z47" s="51"/>
    </row>
    <row r="48">
      <c r="A48" s="65"/>
      <c r="B48" s="65"/>
      <c r="C48" s="65"/>
      <c r="D48" s="65"/>
      <c r="E48" s="64"/>
      <c r="F48" s="64"/>
      <c r="G48" s="64"/>
      <c r="H48" s="64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51"/>
      <c r="V48" s="51"/>
      <c r="W48" s="51"/>
      <c r="X48" s="51"/>
      <c r="Y48" s="51"/>
      <c r="Z48" s="51"/>
    </row>
    <row r="49">
      <c r="A49" s="65"/>
      <c r="B49" s="65"/>
      <c r="C49" s="65"/>
      <c r="D49" s="65"/>
      <c r="E49" s="64"/>
      <c r="F49" s="64"/>
      <c r="G49" s="64"/>
      <c r="H49" s="64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51"/>
      <c r="V49" s="51"/>
      <c r="W49" s="51"/>
      <c r="X49" s="51"/>
      <c r="Y49" s="51"/>
      <c r="Z49" s="51"/>
    </row>
    <row r="50">
      <c r="A50" s="65"/>
      <c r="B50" s="65"/>
      <c r="C50" s="65"/>
      <c r="D50" s="65"/>
      <c r="E50" s="64"/>
      <c r="F50" s="64"/>
      <c r="G50" s="64"/>
      <c r="H50" s="64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51"/>
      <c r="V50" s="51"/>
      <c r="W50" s="51"/>
      <c r="X50" s="51"/>
      <c r="Y50" s="51"/>
      <c r="Z50" s="51"/>
    </row>
    <row r="51">
      <c r="A51" s="65"/>
      <c r="B51" s="65"/>
      <c r="C51" s="65"/>
      <c r="D51" s="65"/>
      <c r="E51" s="64"/>
      <c r="F51" s="64"/>
      <c r="G51" s="64"/>
      <c r="H51" s="64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51"/>
      <c r="V51" s="51"/>
      <c r="W51" s="51"/>
      <c r="X51" s="51"/>
      <c r="Y51" s="51"/>
      <c r="Z51" s="51"/>
    </row>
    <row r="52">
      <c r="A52" s="65"/>
      <c r="B52" s="65"/>
      <c r="C52" s="65"/>
      <c r="D52" s="65"/>
      <c r="E52" s="64"/>
      <c r="F52" s="64"/>
      <c r="G52" s="64"/>
      <c r="H52" s="64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51"/>
      <c r="V52" s="51"/>
      <c r="W52" s="51"/>
      <c r="X52" s="51"/>
      <c r="Y52" s="51"/>
      <c r="Z52" s="51"/>
    </row>
    <row r="53">
      <c r="A53" s="65"/>
      <c r="B53" s="65"/>
      <c r="C53" s="65"/>
      <c r="D53" s="65"/>
      <c r="E53" s="64"/>
      <c r="F53" s="64"/>
      <c r="G53" s="64"/>
      <c r="H53" s="64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51"/>
      <c r="V53" s="51"/>
      <c r="W53" s="51"/>
      <c r="X53" s="51"/>
      <c r="Y53" s="51"/>
      <c r="Z53" s="51"/>
    </row>
    <row r="54">
      <c r="A54" s="65"/>
      <c r="B54" s="65"/>
      <c r="C54" s="65"/>
      <c r="D54" s="65"/>
      <c r="E54" s="64"/>
      <c r="F54" s="64"/>
      <c r="G54" s="64"/>
      <c r="H54" s="64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51"/>
      <c r="V54" s="51"/>
      <c r="W54" s="51"/>
      <c r="X54" s="51"/>
      <c r="Y54" s="51"/>
      <c r="Z54" s="51"/>
    </row>
    <row r="55">
      <c r="A55" s="65"/>
      <c r="B55" s="65"/>
      <c r="C55" s="65"/>
      <c r="D55" s="65"/>
      <c r="E55" s="64"/>
      <c r="F55" s="64"/>
      <c r="G55" s="64"/>
      <c r="H55" s="64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51"/>
      <c r="V55" s="51"/>
      <c r="W55" s="51"/>
      <c r="X55" s="51"/>
      <c r="Y55" s="51"/>
      <c r="Z55" s="51"/>
    </row>
    <row r="56">
      <c r="A56" s="65"/>
      <c r="B56" s="65"/>
      <c r="C56" s="65"/>
      <c r="D56" s="65"/>
      <c r="E56" s="64"/>
      <c r="F56" s="64"/>
      <c r="G56" s="64"/>
      <c r="H56" s="64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51"/>
      <c r="V56" s="51"/>
      <c r="W56" s="51"/>
      <c r="X56" s="51"/>
      <c r="Y56" s="51"/>
      <c r="Z56" s="51"/>
    </row>
    <row r="57">
      <c r="A57" s="65"/>
      <c r="B57" s="65"/>
      <c r="C57" s="65"/>
      <c r="D57" s="65"/>
      <c r="E57" s="64"/>
      <c r="F57" s="64"/>
      <c r="G57" s="64"/>
      <c r="H57" s="64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51"/>
      <c r="V57" s="51"/>
      <c r="W57" s="51"/>
      <c r="X57" s="51"/>
      <c r="Y57" s="51"/>
      <c r="Z57" s="51"/>
    </row>
    <row r="58">
      <c r="A58" s="65"/>
      <c r="B58" s="65"/>
      <c r="C58" s="65"/>
      <c r="D58" s="65"/>
      <c r="E58" s="64"/>
      <c r="F58" s="64"/>
      <c r="G58" s="64"/>
      <c r="H58" s="64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51"/>
      <c r="V58" s="51"/>
      <c r="W58" s="51"/>
      <c r="X58" s="51"/>
      <c r="Y58" s="51"/>
      <c r="Z58" s="51"/>
    </row>
    <row r="59">
      <c r="A59" s="65"/>
      <c r="B59" s="65"/>
      <c r="C59" s="65"/>
      <c r="D59" s="65"/>
      <c r="E59" s="64"/>
      <c r="F59" s="64"/>
      <c r="G59" s="64"/>
      <c r="H59" s="64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51"/>
      <c r="V59" s="51"/>
      <c r="W59" s="51"/>
      <c r="X59" s="51"/>
      <c r="Y59" s="51"/>
      <c r="Z59" s="51"/>
    </row>
    <row r="60">
      <c r="A60" s="65"/>
      <c r="B60" s="65"/>
      <c r="C60" s="65"/>
      <c r="D60" s="65"/>
      <c r="E60" s="64"/>
      <c r="F60" s="64"/>
      <c r="G60" s="64"/>
      <c r="H60" s="64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51"/>
      <c r="V60" s="51"/>
      <c r="W60" s="51"/>
      <c r="X60" s="51"/>
      <c r="Y60" s="51"/>
      <c r="Z60" s="51"/>
    </row>
    <row r="61">
      <c r="A61" s="65"/>
      <c r="B61" s="65"/>
      <c r="C61" s="65"/>
      <c r="D61" s="65"/>
      <c r="E61" s="64"/>
      <c r="F61" s="64"/>
      <c r="G61" s="64"/>
      <c r="H61" s="64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51"/>
      <c r="V61" s="51"/>
      <c r="W61" s="51"/>
      <c r="X61" s="51"/>
      <c r="Y61" s="51"/>
      <c r="Z61" s="51"/>
    </row>
    <row r="62">
      <c r="A62" s="65"/>
      <c r="B62" s="65"/>
      <c r="C62" s="65"/>
      <c r="D62" s="65"/>
      <c r="E62" s="64"/>
      <c r="F62" s="64"/>
      <c r="G62" s="64"/>
      <c r="H62" s="64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51"/>
      <c r="V62" s="51"/>
      <c r="W62" s="51"/>
      <c r="X62" s="51"/>
      <c r="Y62" s="51"/>
      <c r="Z62" s="51"/>
    </row>
    <row r="63">
      <c r="A63" s="65"/>
      <c r="B63" s="65"/>
      <c r="C63" s="65"/>
      <c r="D63" s="65"/>
      <c r="E63" s="64"/>
      <c r="F63" s="64"/>
      <c r="G63" s="64"/>
      <c r="H63" s="64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51"/>
      <c r="V63" s="51"/>
      <c r="W63" s="51"/>
      <c r="X63" s="51"/>
      <c r="Y63" s="51"/>
      <c r="Z63" s="51"/>
    </row>
    <row r="64">
      <c r="A64" s="65"/>
      <c r="B64" s="65"/>
      <c r="C64" s="65"/>
      <c r="D64" s="65"/>
      <c r="E64" s="64"/>
      <c r="F64" s="64"/>
      <c r="G64" s="64"/>
      <c r="H64" s="64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51"/>
      <c r="V64" s="51"/>
      <c r="W64" s="51"/>
      <c r="X64" s="51"/>
      <c r="Y64" s="51"/>
      <c r="Z64" s="51"/>
    </row>
    <row r="65">
      <c r="A65" s="65"/>
      <c r="B65" s="65"/>
      <c r="C65" s="65"/>
      <c r="D65" s="65"/>
      <c r="E65" s="64"/>
      <c r="F65" s="64"/>
      <c r="G65" s="64"/>
      <c r="H65" s="64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51"/>
      <c r="V65" s="51"/>
      <c r="W65" s="51"/>
      <c r="X65" s="51"/>
      <c r="Y65" s="51"/>
      <c r="Z65" s="51"/>
    </row>
    <row r="66">
      <c r="A66" s="65"/>
      <c r="B66" s="65"/>
      <c r="C66" s="65"/>
      <c r="D66" s="65"/>
      <c r="E66" s="64"/>
      <c r="F66" s="64"/>
      <c r="G66" s="64"/>
      <c r="H66" s="64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51"/>
      <c r="V66" s="51"/>
      <c r="W66" s="51"/>
      <c r="X66" s="51"/>
      <c r="Y66" s="51"/>
      <c r="Z66" s="51"/>
    </row>
    <row r="67">
      <c r="A67" s="65"/>
      <c r="B67" s="65"/>
      <c r="C67" s="65"/>
      <c r="D67" s="65"/>
      <c r="E67" s="64"/>
      <c r="F67" s="64"/>
      <c r="G67" s="64"/>
      <c r="H67" s="64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51"/>
      <c r="V67" s="51"/>
      <c r="W67" s="51"/>
      <c r="X67" s="51"/>
      <c r="Y67" s="51"/>
      <c r="Z67" s="51"/>
    </row>
    <row r="68">
      <c r="A68" s="65"/>
      <c r="B68" s="65"/>
      <c r="C68" s="65"/>
      <c r="D68" s="65"/>
      <c r="E68" s="64"/>
      <c r="F68" s="64"/>
      <c r="G68" s="64"/>
      <c r="H68" s="64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51"/>
      <c r="V68" s="51"/>
      <c r="W68" s="51"/>
      <c r="X68" s="51"/>
      <c r="Y68" s="51"/>
      <c r="Z68" s="51"/>
    </row>
    <row r="69">
      <c r="A69" s="65"/>
      <c r="B69" s="65"/>
      <c r="C69" s="65"/>
      <c r="D69" s="65"/>
      <c r="E69" s="64"/>
      <c r="F69" s="64"/>
      <c r="G69" s="64"/>
      <c r="H69" s="64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51"/>
      <c r="V69" s="51"/>
      <c r="W69" s="51"/>
      <c r="X69" s="51"/>
      <c r="Y69" s="51"/>
      <c r="Z69" s="51"/>
    </row>
    <row r="70">
      <c r="A70" s="65"/>
      <c r="B70" s="65"/>
      <c r="C70" s="65"/>
      <c r="D70" s="65"/>
      <c r="E70" s="64"/>
      <c r="F70" s="64"/>
      <c r="G70" s="64"/>
      <c r="H70" s="64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51"/>
      <c r="V70" s="51"/>
      <c r="W70" s="51"/>
      <c r="X70" s="51"/>
      <c r="Y70" s="51"/>
      <c r="Z70" s="51"/>
    </row>
    <row r="71">
      <c r="A71" s="65"/>
      <c r="B71" s="65"/>
      <c r="C71" s="65"/>
      <c r="D71" s="65"/>
      <c r="E71" s="64"/>
      <c r="F71" s="64"/>
      <c r="G71" s="64"/>
      <c r="H71" s="64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51"/>
      <c r="V71" s="51"/>
      <c r="W71" s="51"/>
      <c r="X71" s="51"/>
      <c r="Y71" s="51"/>
      <c r="Z71" s="51"/>
    </row>
    <row r="72">
      <c r="A72" s="65"/>
      <c r="B72" s="65"/>
      <c r="C72" s="65"/>
      <c r="D72" s="65"/>
      <c r="E72" s="64"/>
      <c r="F72" s="64"/>
      <c r="G72" s="64"/>
      <c r="H72" s="64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51"/>
      <c r="V72" s="51"/>
      <c r="W72" s="51"/>
      <c r="X72" s="51"/>
      <c r="Y72" s="51"/>
      <c r="Z72" s="51"/>
    </row>
    <row r="73">
      <c r="A73" s="65"/>
      <c r="B73" s="65"/>
      <c r="C73" s="65"/>
      <c r="D73" s="65"/>
      <c r="E73" s="64"/>
      <c r="F73" s="64"/>
      <c r="G73" s="64"/>
      <c r="H73" s="64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51"/>
      <c r="V73" s="51"/>
      <c r="W73" s="51"/>
      <c r="X73" s="51"/>
      <c r="Y73" s="51"/>
      <c r="Z73" s="51"/>
    </row>
    <row r="74">
      <c r="A74" s="65"/>
      <c r="B74" s="65"/>
      <c r="C74" s="65"/>
      <c r="D74" s="65"/>
      <c r="E74" s="64"/>
      <c r="F74" s="64"/>
      <c r="G74" s="64"/>
      <c r="H74" s="64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51"/>
      <c r="V74" s="51"/>
      <c r="W74" s="51"/>
      <c r="X74" s="51"/>
      <c r="Y74" s="51"/>
      <c r="Z74" s="51"/>
    </row>
    <row r="75">
      <c r="A75" s="65"/>
      <c r="B75" s="65"/>
      <c r="C75" s="65"/>
      <c r="D75" s="65"/>
      <c r="E75" s="64"/>
      <c r="F75" s="64"/>
      <c r="G75" s="64"/>
      <c r="H75" s="64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51"/>
      <c r="V75" s="51"/>
      <c r="W75" s="51"/>
      <c r="X75" s="51"/>
      <c r="Y75" s="51"/>
      <c r="Z75" s="51"/>
    </row>
    <row r="76">
      <c r="A76" s="65"/>
      <c r="B76" s="65"/>
      <c r="C76" s="65"/>
      <c r="D76" s="65"/>
      <c r="E76" s="64"/>
      <c r="F76" s="64"/>
      <c r="G76" s="64"/>
      <c r="H76" s="64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51"/>
      <c r="V76" s="51"/>
      <c r="W76" s="51"/>
      <c r="X76" s="51"/>
      <c r="Y76" s="51"/>
      <c r="Z76" s="51"/>
    </row>
    <row r="77">
      <c r="A77" s="65"/>
      <c r="B77" s="65"/>
      <c r="C77" s="65"/>
      <c r="D77" s="65"/>
      <c r="E77" s="64"/>
      <c r="F77" s="64"/>
      <c r="G77" s="64"/>
      <c r="H77" s="64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51"/>
      <c r="V77" s="51"/>
      <c r="W77" s="51"/>
      <c r="X77" s="51"/>
      <c r="Y77" s="51"/>
      <c r="Z77" s="51"/>
    </row>
    <row r="78">
      <c r="A78" s="65"/>
      <c r="B78" s="65"/>
      <c r="C78" s="65"/>
      <c r="D78" s="65"/>
      <c r="E78" s="64"/>
      <c r="F78" s="64"/>
      <c r="G78" s="64"/>
      <c r="H78" s="64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51"/>
      <c r="V78" s="51"/>
      <c r="W78" s="51"/>
      <c r="X78" s="51"/>
      <c r="Y78" s="51"/>
      <c r="Z78" s="51"/>
    </row>
    <row r="79">
      <c r="A79" s="65"/>
      <c r="B79" s="65"/>
      <c r="C79" s="65"/>
      <c r="D79" s="65"/>
      <c r="E79" s="64"/>
      <c r="F79" s="64"/>
      <c r="G79" s="64"/>
      <c r="H79" s="64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51"/>
      <c r="V79" s="51"/>
      <c r="W79" s="51"/>
      <c r="X79" s="51"/>
      <c r="Y79" s="51"/>
      <c r="Z79" s="51"/>
    </row>
    <row r="80">
      <c r="A80" s="65"/>
      <c r="B80" s="65"/>
      <c r="C80" s="65"/>
      <c r="D80" s="65"/>
      <c r="E80" s="64"/>
      <c r="F80" s="64"/>
      <c r="G80" s="64"/>
      <c r="H80" s="64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51"/>
      <c r="V80" s="51"/>
      <c r="W80" s="51"/>
      <c r="X80" s="51"/>
      <c r="Y80" s="51"/>
      <c r="Z80" s="51"/>
    </row>
    <row r="81">
      <c r="A81" s="65"/>
      <c r="B81" s="65"/>
      <c r="C81" s="65"/>
      <c r="D81" s="65"/>
      <c r="E81" s="64"/>
      <c r="F81" s="64"/>
      <c r="G81" s="64"/>
      <c r="H81" s="64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51"/>
      <c r="V81" s="51"/>
      <c r="W81" s="51"/>
      <c r="X81" s="51"/>
      <c r="Y81" s="51"/>
      <c r="Z81" s="51"/>
    </row>
    <row r="82">
      <c r="A82" s="65"/>
      <c r="B82" s="65"/>
      <c r="C82" s="65"/>
      <c r="D82" s="65"/>
      <c r="E82" s="64"/>
      <c r="F82" s="64"/>
      <c r="G82" s="64"/>
      <c r="H82" s="64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51"/>
      <c r="V82" s="51"/>
      <c r="W82" s="51"/>
      <c r="X82" s="51"/>
      <c r="Y82" s="51"/>
      <c r="Z82" s="51"/>
    </row>
    <row r="83">
      <c r="A83" s="65"/>
      <c r="B83" s="65"/>
      <c r="C83" s="65"/>
      <c r="D83" s="65"/>
      <c r="E83" s="64"/>
      <c r="F83" s="64"/>
      <c r="G83" s="64"/>
      <c r="H83" s="64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51"/>
      <c r="V83" s="51"/>
      <c r="W83" s="51"/>
      <c r="X83" s="51"/>
      <c r="Y83" s="51"/>
      <c r="Z83" s="51"/>
    </row>
    <row r="84">
      <c r="A84" s="65"/>
      <c r="B84" s="65"/>
      <c r="C84" s="65"/>
      <c r="D84" s="65"/>
      <c r="E84" s="64"/>
      <c r="F84" s="64"/>
      <c r="G84" s="64"/>
      <c r="H84" s="64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51"/>
      <c r="V84" s="51"/>
      <c r="W84" s="51"/>
      <c r="X84" s="51"/>
      <c r="Y84" s="51"/>
      <c r="Z84" s="51"/>
    </row>
    <row r="85">
      <c r="A85" s="65"/>
      <c r="B85" s="65"/>
      <c r="C85" s="65"/>
      <c r="D85" s="65"/>
      <c r="E85" s="64"/>
      <c r="F85" s="64"/>
      <c r="G85" s="64"/>
      <c r="H85" s="64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51"/>
      <c r="V85" s="51"/>
      <c r="W85" s="51"/>
      <c r="X85" s="51"/>
      <c r="Y85" s="51"/>
      <c r="Z85" s="51"/>
    </row>
    <row r="86">
      <c r="A86" s="65"/>
      <c r="B86" s="65"/>
      <c r="C86" s="65"/>
      <c r="D86" s="65"/>
      <c r="E86" s="64"/>
      <c r="F86" s="64"/>
      <c r="G86" s="64"/>
      <c r="H86" s="64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51"/>
      <c r="V86" s="51"/>
      <c r="W86" s="51"/>
      <c r="X86" s="51"/>
      <c r="Y86" s="51"/>
      <c r="Z86" s="51"/>
    </row>
    <row r="87">
      <c r="A87" s="65"/>
      <c r="B87" s="65"/>
      <c r="C87" s="65"/>
      <c r="D87" s="65"/>
      <c r="E87" s="64"/>
      <c r="F87" s="64"/>
      <c r="G87" s="64"/>
      <c r="H87" s="64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51"/>
      <c r="V87" s="51"/>
      <c r="W87" s="51"/>
      <c r="X87" s="51"/>
      <c r="Y87" s="51"/>
      <c r="Z87" s="51"/>
    </row>
    <row r="88">
      <c r="A88" s="65"/>
      <c r="B88" s="65"/>
      <c r="C88" s="65"/>
      <c r="D88" s="65"/>
      <c r="E88" s="64"/>
      <c r="F88" s="64"/>
      <c r="G88" s="64"/>
      <c r="H88" s="64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51"/>
      <c r="V88" s="51"/>
      <c r="W88" s="51"/>
      <c r="X88" s="51"/>
      <c r="Y88" s="51"/>
      <c r="Z88" s="51"/>
    </row>
    <row r="89">
      <c r="A89" s="65"/>
      <c r="B89" s="65"/>
      <c r="C89" s="65"/>
      <c r="D89" s="65"/>
      <c r="E89" s="64"/>
      <c r="F89" s="64"/>
      <c r="G89" s="64"/>
      <c r="H89" s="64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51"/>
      <c r="V89" s="51"/>
      <c r="W89" s="51"/>
      <c r="X89" s="51"/>
      <c r="Y89" s="51"/>
      <c r="Z89" s="51"/>
    </row>
    <row r="90">
      <c r="A90" s="65"/>
      <c r="B90" s="65"/>
      <c r="C90" s="65"/>
      <c r="D90" s="65"/>
      <c r="E90" s="64"/>
      <c r="F90" s="64"/>
      <c r="G90" s="64"/>
      <c r="H90" s="64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51"/>
      <c r="V90" s="51"/>
      <c r="W90" s="51"/>
      <c r="X90" s="51"/>
      <c r="Y90" s="51"/>
      <c r="Z90" s="51"/>
    </row>
    <row r="91">
      <c r="A91" s="65"/>
      <c r="B91" s="65"/>
      <c r="C91" s="65"/>
      <c r="D91" s="65"/>
      <c r="E91" s="64"/>
      <c r="F91" s="64"/>
      <c r="G91" s="64"/>
      <c r="H91" s="64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51"/>
      <c r="V91" s="51"/>
      <c r="W91" s="51"/>
      <c r="X91" s="51"/>
      <c r="Y91" s="51"/>
      <c r="Z91" s="51"/>
    </row>
    <row r="92">
      <c r="A92" s="65"/>
      <c r="B92" s="65"/>
      <c r="C92" s="65"/>
      <c r="D92" s="65"/>
      <c r="E92" s="64"/>
      <c r="F92" s="64"/>
      <c r="G92" s="64"/>
      <c r="H92" s="64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51"/>
      <c r="V92" s="51"/>
      <c r="W92" s="51"/>
      <c r="X92" s="51"/>
      <c r="Y92" s="51"/>
      <c r="Z92" s="51"/>
    </row>
    <row r="93">
      <c r="A93" s="65"/>
      <c r="B93" s="65"/>
      <c r="C93" s="65"/>
      <c r="D93" s="65"/>
      <c r="E93" s="64"/>
      <c r="F93" s="64"/>
      <c r="G93" s="64"/>
      <c r="H93" s="64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51"/>
      <c r="V93" s="51"/>
      <c r="W93" s="51"/>
      <c r="X93" s="51"/>
      <c r="Y93" s="51"/>
      <c r="Z93" s="51"/>
    </row>
    <row r="94">
      <c r="A94" s="65"/>
      <c r="B94" s="65"/>
      <c r="C94" s="65"/>
      <c r="D94" s="65"/>
      <c r="E94" s="64"/>
      <c r="F94" s="64"/>
      <c r="G94" s="64"/>
      <c r="H94" s="64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51"/>
      <c r="V94" s="51"/>
      <c r="W94" s="51"/>
      <c r="X94" s="51"/>
      <c r="Y94" s="51"/>
      <c r="Z94" s="51"/>
    </row>
    <row r="95">
      <c r="A95" s="65"/>
      <c r="B95" s="65"/>
      <c r="C95" s="65"/>
      <c r="D95" s="65"/>
      <c r="E95" s="64"/>
      <c r="F95" s="64"/>
      <c r="G95" s="64"/>
      <c r="H95" s="64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51"/>
      <c r="V95" s="51"/>
      <c r="W95" s="51"/>
      <c r="X95" s="51"/>
      <c r="Y95" s="51"/>
      <c r="Z95" s="51"/>
    </row>
    <row r="96">
      <c r="A96" s="65"/>
      <c r="B96" s="65"/>
      <c r="C96" s="65"/>
      <c r="D96" s="65"/>
      <c r="E96" s="64"/>
      <c r="F96" s="64"/>
      <c r="G96" s="64"/>
      <c r="H96" s="64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51"/>
      <c r="V96" s="51"/>
      <c r="W96" s="51"/>
      <c r="X96" s="51"/>
      <c r="Y96" s="51"/>
      <c r="Z96" s="51"/>
    </row>
    <row r="97">
      <c r="A97" s="65"/>
      <c r="B97" s="65"/>
      <c r="C97" s="65"/>
      <c r="D97" s="65"/>
      <c r="E97" s="64"/>
      <c r="F97" s="64"/>
      <c r="G97" s="64"/>
      <c r="H97" s="64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51"/>
      <c r="V97" s="51"/>
      <c r="W97" s="51"/>
      <c r="X97" s="51"/>
      <c r="Y97" s="51"/>
      <c r="Z97" s="51"/>
    </row>
    <row r="98">
      <c r="A98" s="65"/>
      <c r="B98" s="65"/>
      <c r="C98" s="65"/>
      <c r="D98" s="65"/>
      <c r="E98" s="64"/>
      <c r="F98" s="64"/>
      <c r="G98" s="64"/>
      <c r="H98" s="64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51"/>
      <c r="V98" s="51"/>
      <c r="W98" s="51"/>
      <c r="X98" s="51"/>
      <c r="Y98" s="51"/>
      <c r="Z98" s="51"/>
    </row>
    <row r="99">
      <c r="A99" s="65"/>
      <c r="B99" s="65"/>
      <c r="C99" s="65"/>
      <c r="D99" s="65"/>
      <c r="E99" s="64"/>
      <c r="F99" s="64"/>
      <c r="G99" s="64"/>
      <c r="H99" s="64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51"/>
      <c r="V99" s="51"/>
      <c r="W99" s="51"/>
      <c r="X99" s="51"/>
      <c r="Y99" s="51"/>
      <c r="Z99" s="51"/>
    </row>
    <row r="100">
      <c r="A100" s="65"/>
      <c r="B100" s="65"/>
      <c r="C100" s="65"/>
      <c r="D100" s="65"/>
      <c r="E100" s="64"/>
      <c r="F100" s="64"/>
      <c r="G100" s="64"/>
      <c r="H100" s="64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51"/>
      <c r="V100" s="51"/>
      <c r="W100" s="51"/>
      <c r="X100" s="51"/>
      <c r="Y100" s="51"/>
      <c r="Z100" s="51"/>
    </row>
    <row r="101">
      <c r="A101" s="65"/>
      <c r="B101" s="65"/>
      <c r="C101" s="65"/>
      <c r="D101" s="65"/>
      <c r="E101" s="64"/>
      <c r="F101" s="64"/>
      <c r="G101" s="64"/>
      <c r="H101" s="64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51"/>
      <c r="V101" s="51"/>
      <c r="W101" s="51"/>
      <c r="X101" s="51"/>
      <c r="Y101" s="51"/>
      <c r="Z101" s="51"/>
    </row>
    <row r="102">
      <c r="A102" s="65"/>
      <c r="B102" s="65"/>
      <c r="C102" s="65"/>
      <c r="D102" s="65"/>
      <c r="E102" s="64"/>
      <c r="F102" s="64"/>
      <c r="G102" s="64"/>
      <c r="H102" s="64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51"/>
      <c r="V102" s="51"/>
      <c r="W102" s="51"/>
      <c r="X102" s="51"/>
      <c r="Y102" s="51"/>
      <c r="Z102" s="51"/>
    </row>
    <row r="103">
      <c r="A103" s="65"/>
      <c r="B103" s="65"/>
      <c r="C103" s="65"/>
      <c r="D103" s="65"/>
      <c r="E103" s="64"/>
      <c r="F103" s="64"/>
      <c r="G103" s="64"/>
      <c r="H103" s="64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51"/>
      <c r="V103" s="51"/>
      <c r="W103" s="51"/>
      <c r="X103" s="51"/>
      <c r="Y103" s="51"/>
      <c r="Z103" s="51"/>
    </row>
    <row r="104">
      <c r="A104" s="65"/>
      <c r="B104" s="65"/>
      <c r="C104" s="65"/>
      <c r="D104" s="65"/>
      <c r="E104" s="64"/>
      <c r="F104" s="64"/>
      <c r="G104" s="64"/>
      <c r="H104" s="64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51"/>
      <c r="V104" s="51"/>
      <c r="W104" s="51"/>
      <c r="X104" s="51"/>
      <c r="Y104" s="51"/>
      <c r="Z104" s="51"/>
    </row>
    <row r="105">
      <c r="A105" s="65"/>
      <c r="B105" s="65"/>
      <c r="C105" s="65"/>
      <c r="D105" s="65"/>
      <c r="E105" s="64"/>
      <c r="F105" s="64"/>
      <c r="G105" s="64"/>
      <c r="H105" s="64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51"/>
      <c r="V105" s="51"/>
      <c r="W105" s="51"/>
      <c r="X105" s="51"/>
      <c r="Y105" s="51"/>
      <c r="Z105" s="51"/>
    </row>
    <row r="106">
      <c r="A106" s="65"/>
      <c r="B106" s="65"/>
      <c r="C106" s="65"/>
      <c r="D106" s="65"/>
      <c r="E106" s="64"/>
      <c r="F106" s="64"/>
      <c r="G106" s="64"/>
      <c r="H106" s="64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51"/>
      <c r="V106" s="51"/>
      <c r="W106" s="51"/>
      <c r="X106" s="51"/>
      <c r="Y106" s="51"/>
      <c r="Z106" s="51"/>
    </row>
    <row r="107">
      <c r="A107" s="65"/>
      <c r="B107" s="65"/>
      <c r="C107" s="65"/>
      <c r="D107" s="65"/>
      <c r="E107" s="64"/>
      <c r="F107" s="64"/>
      <c r="G107" s="64"/>
      <c r="H107" s="64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51"/>
      <c r="V107" s="51"/>
      <c r="W107" s="51"/>
      <c r="X107" s="51"/>
      <c r="Y107" s="51"/>
      <c r="Z107" s="51"/>
    </row>
    <row r="108">
      <c r="A108" s="65"/>
      <c r="B108" s="65"/>
      <c r="C108" s="65"/>
      <c r="D108" s="65"/>
      <c r="E108" s="64"/>
      <c r="F108" s="64"/>
      <c r="G108" s="64"/>
      <c r="H108" s="64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51"/>
      <c r="V108" s="51"/>
      <c r="W108" s="51"/>
      <c r="X108" s="51"/>
      <c r="Y108" s="51"/>
      <c r="Z108" s="51"/>
    </row>
    <row r="109">
      <c r="A109" s="65"/>
      <c r="B109" s="65"/>
      <c r="C109" s="65"/>
      <c r="D109" s="65"/>
      <c r="E109" s="64"/>
      <c r="F109" s="64"/>
      <c r="G109" s="64"/>
      <c r="H109" s="64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51"/>
      <c r="V109" s="51"/>
      <c r="W109" s="51"/>
      <c r="X109" s="51"/>
      <c r="Y109" s="51"/>
      <c r="Z109" s="51"/>
    </row>
    <row r="110">
      <c r="A110" s="65"/>
      <c r="B110" s="65"/>
      <c r="C110" s="65"/>
      <c r="D110" s="65"/>
      <c r="E110" s="64"/>
      <c r="F110" s="64"/>
      <c r="G110" s="64"/>
      <c r="H110" s="64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51"/>
      <c r="V110" s="51"/>
      <c r="W110" s="51"/>
      <c r="X110" s="51"/>
      <c r="Y110" s="51"/>
      <c r="Z110" s="51"/>
    </row>
    <row r="111">
      <c r="A111" s="65"/>
      <c r="B111" s="65"/>
      <c r="C111" s="65"/>
      <c r="D111" s="65"/>
      <c r="E111" s="64"/>
      <c r="F111" s="64"/>
      <c r="G111" s="64"/>
      <c r="H111" s="64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51"/>
      <c r="V111" s="51"/>
      <c r="W111" s="51"/>
      <c r="X111" s="51"/>
      <c r="Y111" s="51"/>
      <c r="Z111" s="51"/>
    </row>
    <row r="112">
      <c r="A112" s="65"/>
      <c r="B112" s="65"/>
      <c r="C112" s="65"/>
      <c r="D112" s="65"/>
      <c r="E112" s="64"/>
      <c r="F112" s="64"/>
      <c r="G112" s="64"/>
      <c r="H112" s="64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51"/>
      <c r="V112" s="51"/>
      <c r="W112" s="51"/>
      <c r="X112" s="51"/>
      <c r="Y112" s="51"/>
      <c r="Z112" s="51"/>
    </row>
    <row r="113">
      <c r="A113" s="65"/>
      <c r="B113" s="65"/>
      <c r="C113" s="65"/>
      <c r="D113" s="65"/>
      <c r="E113" s="64"/>
      <c r="F113" s="64"/>
      <c r="G113" s="64"/>
      <c r="H113" s="64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51"/>
      <c r="V113" s="51"/>
      <c r="W113" s="51"/>
      <c r="X113" s="51"/>
      <c r="Y113" s="51"/>
      <c r="Z113" s="51"/>
    </row>
    <row r="114">
      <c r="A114" s="65"/>
      <c r="B114" s="65"/>
      <c r="C114" s="65"/>
      <c r="D114" s="65"/>
      <c r="E114" s="64"/>
      <c r="F114" s="64"/>
      <c r="G114" s="64"/>
      <c r="H114" s="64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51"/>
      <c r="V114" s="51"/>
      <c r="W114" s="51"/>
      <c r="X114" s="51"/>
      <c r="Y114" s="51"/>
      <c r="Z114" s="51"/>
    </row>
    <row r="115">
      <c r="A115" s="65"/>
      <c r="B115" s="65"/>
      <c r="C115" s="65"/>
      <c r="D115" s="65"/>
      <c r="E115" s="64"/>
      <c r="F115" s="64"/>
      <c r="G115" s="64"/>
      <c r="H115" s="64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51"/>
      <c r="V115" s="51"/>
      <c r="W115" s="51"/>
      <c r="X115" s="51"/>
      <c r="Y115" s="51"/>
      <c r="Z115" s="51"/>
    </row>
    <row r="116">
      <c r="A116" s="65"/>
      <c r="B116" s="65"/>
      <c r="C116" s="65"/>
      <c r="D116" s="65"/>
      <c r="E116" s="64"/>
      <c r="F116" s="64"/>
      <c r="G116" s="64"/>
      <c r="H116" s="64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51"/>
      <c r="V116" s="51"/>
      <c r="W116" s="51"/>
      <c r="X116" s="51"/>
      <c r="Y116" s="51"/>
      <c r="Z116" s="51"/>
    </row>
    <row r="117">
      <c r="A117" s="65"/>
      <c r="B117" s="65"/>
      <c r="C117" s="65"/>
      <c r="D117" s="65"/>
      <c r="E117" s="64"/>
      <c r="F117" s="64"/>
      <c r="G117" s="64"/>
      <c r="H117" s="64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51"/>
      <c r="V117" s="51"/>
      <c r="W117" s="51"/>
      <c r="X117" s="51"/>
      <c r="Y117" s="51"/>
      <c r="Z117" s="51"/>
    </row>
    <row r="118">
      <c r="A118" s="65"/>
      <c r="B118" s="65"/>
      <c r="C118" s="65"/>
      <c r="D118" s="65"/>
      <c r="E118" s="64"/>
      <c r="F118" s="64"/>
      <c r="G118" s="64"/>
      <c r="H118" s="64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51"/>
      <c r="V118" s="51"/>
      <c r="W118" s="51"/>
      <c r="X118" s="51"/>
      <c r="Y118" s="51"/>
      <c r="Z118" s="51"/>
    </row>
    <row r="119">
      <c r="A119" s="65"/>
      <c r="B119" s="65"/>
      <c r="C119" s="65"/>
      <c r="D119" s="65"/>
      <c r="E119" s="64"/>
      <c r="F119" s="64"/>
      <c r="G119" s="64"/>
      <c r="H119" s="64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51"/>
      <c r="V119" s="51"/>
      <c r="W119" s="51"/>
      <c r="X119" s="51"/>
      <c r="Y119" s="51"/>
      <c r="Z119" s="51"/>
    </row>
    <row r="120">
      <c r="A120" s="65"/>
      <c r="B120" s="65"/>
      <c r="C120" s="65"/>
      <c r="D120" s="65"/>
      <c r="E120" s="64"/>
      <c r="F120" s="64"/>
      <c r="G120" s="64"/>
      <c r="H120" s="64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51"/>
      <c r="V120" s="51"/>
      <c r="W120" s="51"/>
      <c r="X120" s="51"/>
      <c r="Y120" s="51"/>
      <c r="Z120" s="51"/>
    </row>
    <row r="121">
      <c r="A121" s="65"/>
      <c r="B121" s="65"/>
      <c r="C121" s="65"/>
      <c r="D121" s="65"/>
      <c r="E121" s="64"/>
      <c r="F121" s="64"/>
      <c r="G121" s="64"/>
      <c r="H121" s="64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51"/>
      <c r="V121" s="51"/>
      <c r="W121" s="51"/>
      <c r="X121" s="51"/>
      <c r="Y121" s="51"/>
      <c r="Z121" s="51"/>
    </row>
    <row r="122">
      <c r="A122" s="65"/>
      <c r="B122" s="65"/>
      <c r="C122" s="65"/>
      <c r="D122" s="65"/>
      <c r="E122" s="64"/>
      <c r="F122" s="64"/>
      <c r="G122" s="64"/>
      <c r="H122" s="64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51"/>
      <c r="V122" s="51"/>
      <c r="W122" s="51"/>
      <c r="X122" s="51"/>
      <c r="Y122" s="51"/>
      <c r="Z122" s="51"/>
    </row>
    <row r="123">
      <c r="A123" s="65"/>
      <c r="B123" s="65"/>
      <c r="C123" s="65"/>
      <c r="D123" s="65"/>
      <c r="E123" s="64"/>
      <c r="F123" s="64"/>
      <c r="G123" s="64"/>
      <c r="H123" s="64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51"/>
      <c r="V123" s="51"/>
      <c r="W123" s="51"/>
      <c r="X123" s="51"/>
      <c r="Y123" s="51"/>
      <c r="Z123" s="51"/>
    </row>
    <row r="124">
      <c r="A124" s="65"/>
      <c r="B124" s="65"/>
      <c r="C124" s="65"/>
      <c r="D124" s="65"/>
      <c r="E124" s="64"/>
      <c r="F124" s="64"/>
      <c r="G124" s="64"/>
      <c r="H124" s="64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51"/>
      <c r="V124" s="51"/>
      <c r="W124" s="51"/>
      <c r="X124" s="51"/>
      <c r="Y124" s="51"/>
      <c r="Z124" s="51"/>
    </row>
    <row r="125">
      <c r="A125" s="65"/>
      <c r="B125" s="65"/>
      <c r="C125" s="65"/>
      <c r="D125" s="65"/>
      <c r="E125" s="64"/>
      <c r="F125" s="64"/>
      <c r="G125" s="64"/>
      <c r="H125" s="64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51"/>
      <c r="V125" s="51"/>
      <c r="W125" s="51"/>
      <c r="X125" s="51"/>
      <c r="Y125" s="51"/>
      <c r="Z125" s="51"/>
    </row>
    <row r="126">
      <c r="A126" s="65"/>
      <c r="B126" s="65"/>
      <c r="C126" s="65"/>
      <c r="D126" s="65"/>
      <c r="E126" s="64"/>
      <c r="F126" s="64"/>
      <c r="G126" s="64"/>
      <c r="H126" s="64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51"/>
      <c r="V126" s="51"/>
      <c r="W126" s="51"/>
      <c r="X126" s="51"/>
      <c r="Y126" s="51"/>
      <c r="Z126" s="51"/>
    </row>
    <row r="127">
      <c r="A127" s="65"/>
      <c r="B127" s="65"/>
      <c r="C127" s="65"/>
      <c r="D127" s="65"/>
      <c r="E127" s="64"/>
      <c r="F127" s="64"/>
      <c r="G127" s="64"/>
      <c r="H127" s="64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51"/>
      <c r="V127" s="51"/>
      <c r="W127" s="51"/>
      <c r="X127" s="51"/>
      <c r="Y127" s="51"/>
      <c r="Z127" s="51"/>
    </row>
    <row r="128">
      <c r="A128" s="65"/>
      <c r="B128" s="65"/>
      <c r="C128" s="65"/>
      <c r="D128" s="65"/>
      <c r="E128" s="64"/>
      <c r="F128" s="64"/>
      <c r="G128" s="64"/>
      <c r="H128" s="64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51"/>
      <c r="V128" s="51"/>
      <c r="W128" s="51"/>
      <c r="X128" s="51"/>
      <c r="Y128" s="51"/>
      <c r="Z128" s="51"/>
    </row>
    <row r="129">
      <c r="A129" s="65"/>
      <c r="B129" s="65"/>
      <c r="C129" s="65"/>
      <c r="D129" s="65"/>
      <c r="E129" s="64"/>
      <c r="F129" s="64"/>
      <c r="G129" s="64"/>
      <c r="H129" s="64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51"/>
      <c r="V129" s="51"/>
      <c r="W129" s="51"/>
      <c r="X129" s="51"/>
      <c r="Y129" s="51"/>
      <c r="Z129" s="51"/>
    </row>
    <row r="130">
      <c r="A130" s="65"/>
      <c r="B130" s="65"/>
      <c r="C130" s="65"/>
      <c r="D130" s="65"/>
      <c r="E130" s="64"/>
      <c r="F130" s="64"/>
      <c r="G130" s="64"/>
      <c r="H130" s="64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51"/>
      <c r="V130" s="51"/>
      <c r="W130" s="51"/>
      <c r="X130" s="51"/>
      <c r="Y130" s="51"/>
      <c r="Z130" s="51"/>
    </row>
    <row r="131">
      <c r="A131" s="65"/>
      <c r="B131" s="65"/>
      <c r="C131" s="65"/>
      <c r="D131" s="65"/>
      <c r="E131" s="64"/>
      <c r="F131" s="64"/>
      <c r="G131" s="64"/>
      <c r="H131" s="64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51"/>
      <c r="V131" s="51"/>
      <c r="W131" s="51"/>
      <c r="X131" s="51"/>
      <c r="Y131" s="51"/>
      <c r="Z131" s="51"/>
    </row>
    <row r="132">
      <c r="A132" s="65"/>
      <c r="B132" s="65"/>
      <c r="C132" s="65"/>
      <c r="D132" s="65"/>
      <c r="E132" s="64"/>
      <c r="F132" s="64"/>
      <c r="G132" s="64"/>
      <c r="H132" s="64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51"/>
      <c r="V132" s="51"/>
      <c r="W132" s="51"/>
      <c r="X132" s="51"/>
      <c r="Y132" s="51"/>
      <c r="Z132" s="51"/>
    </row>
    <row r="133">
      <c r="A133" s="65"/>
      <c r="B133" s="65"/>
      <c r="C133" s="65"/>
      <c r="D133" s="65"/>
      <c r="E133" s="64"/>
      <c r="F133" s="64"/>
      <c r="G133" s="64"/>
      <c r="H133" s="64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51"/>
      <c r="V133" s="51"/>
      <c r="W133" s="51"/>
      <c r="X133" s="51"/>
      <c r="Y133" s="51"/>
      <c r="Z133" s="51"/>
    </row>
    <row r="134">
      <c r="A134" s="65"/>
      <c r="B134" s="65"/>
      <c r="C134" s="65"/>
      <c r="D134" s="65"/>
      <c r="E134" s="64"/>
      <c r="F134" s="64"/>
      <c r="G134" s="64"/>
      <c r="H134" s="64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51"/>
      <c r="V134" s="51"/>
      <c r="W134" s="51"/>
      <c r="X134" s="51"/>
      <c r="Y134" s="51"/>
      <c r="Z134" s="51"/>
    </row>
    <row r="135">
      <c r="A135" s="65"/>
      <c r="B135" s="65"/>
      <c r="C135" s="65"/>
      <c r="D135" s="65"/>
      <c r="E135" s="64"/>
      <c r="F135" s="64"/>
      <c r="G135" s="64"/>
      <c r="H135" s="64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51"/>
      <c r="V135" s="51"/>
      <c r="W135" s="51"/>
      <c r="X135" s="51"/>
      <c r="Y135" s="51"/>
      <c r="Z135" s="51"/>
    </row>
    <row r="136">
      <c r="A136" s="65"/>
      <c r="B136" s="65"/>
      <c r="C136" s="65"/>
      <c r="D136" s="65"/>
      <c r="E136" s="64"/>
      <c r="F136" s="64"/>
      <c r="G136" s="64"/>
      <c r="H136" s="64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51"/>
      <c r="V136" s="51"/>
      <c r="W136" s="51"/>
      <c r="X136" s="51"/>
      <c r="Y136" s="51"/>
      <c r="Z136" s="51"/>
    </row>
    <row r="137">
      <c r="A137" s="65"/>
      <c r="B137" s="65"/>
      <c r="C137" s="65"/>
      <c r="D137" s="65"/>
      <c r="E137" s="64"/>
      <c r="F137" s="64"/>
      <c r="G137" s="64"/>
      <c r="H137" s="64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51"/>
      <c r="V137" s="51"/>
      <c r="W137" s="51"/>
      <c r="X137" s="51"/>
      <c r="Y137" s="51"/>
      <c r="Z137" s="51"/>
    </row>
    <row r="138">
      <c r="A138" s="65"/>
      <c r="B138" s="65"/>
      <c r="C138" s="65"/>
      <c r="D138" s="65"/>
      <c r="E138" s="64"/>
      <c r="F138" s="64"/>
      <c r="G138" s="64"/>
      <c r="H138" s="64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51"/>
      <c r="V138" s="51"/>
      <c r="W138" s="51"/>
      <c r="X138" s="51"/>
      <c r="Y138" s="51"/>
      <c r="Z138" s="51"/>
    </row>
    <row r="139">
      <c r="A139" s="65"/>
      <c r="B139" s="65"/>
      <c r="C139" s="65"/>
      <c r="D139" s="65"/>
      <c r="E139" s="64"/>
      <c r="F139" s="64"/>
      <c r="G139" s="64"/>
      <c r="H139" s="64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51"/>
      <c r="V139" s="51"/>
      <c r="W139" s="51"/>
      <c r="X139" s="51"/>
      <c r="Y139" s="51"/>
      <c r="Z139" s="51"/>
    </row>
    <row r="140">
      <c r="A140" s="65"/>
      <c r="B140" s="65"/>
      <c r="C140" s="65"/>
      <c r="D140" s="65"/>
      <c r="E140" s="64"/>
      <c r="F140" s="64"/>
      <c r="G140" s="64"/>
      <c r="H140" s="64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51"/>
      <c r="V140" s="51"/>
      <c r="W140" s="51"/>
      <c r="X140" s="51"/>
      <c r="Y140" s="51"/>
      <c r="Z140" s="51"/>
    </row>
    <row r="141">
      <c r="A141" s="65"/>
      <c r="B141" s="65"/>
      <c r="C141" s="65"/>
      <c r="D141" s="65"/>
      <c r="E141" s="64"/>
      <c r="F141" s="64"/>
      <c r="G141" s="64"/>
      <c r="H141" s="64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51"/>
      <c r="V141" s="51"/>
      <c r="W141" s="51"/>
      <c r="X141" s="51"/>
      <c r="Y141" s="51"/>
      <c r="Z141" s="51"/>
    </row>
    <row r="142">
      <c r="A142" s="65"/>
      <c r="B142" s="65"/>
      <c r="C142" s="65"/>
      <c r="D142" s="65"/>
      <c r="E142" s="64"/>
      <c r="F142" s="64"/>
      <c r="G142" s="64"/>
      <c r="H142" s="64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51"/>
      <c r="V142" s="51"/>
      <c r="W142" s="51"/>
      <c r="X142" s="51"/>
      <c r="Y142" s="51"/>
      <c r="Z142" s="51"/>
    </row>
    <row r="143">
      <c r="A143" s="65"/>
      <c r="B143" s="65"/>
      <c r="C143" s="65"/>
      <c r="D143" s="65"/>
      <c r="E143" s="64"/>
      <c r="F143" s="64"/>
      <c r="G143" s="64"/>
      <c r="H143" s="64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51"/>
      <c r="V143" s="51"/>
      <c r="W143" s="51"/>
      <c r="X143" s="51"/>
      <c r="Y143" s="51"/>
      <c r="Z143" s="51"/>
    </row>
    <row r="144">
      <c r="A144" s="65"/>
      <c r="B144" s="65"/>
      <c r="C144" s="65"/>
      <c r="D144" s="65"/>
      <c r="E144" s="64"/>
      <c r="F144" s="64"/>
      <c r="G144" s="64"/>
      <c r="H144" s="64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51"/>
      <c r="V144" s="51"/>
      <c r="W144" s="51"/>
      <c r="X144" s="51"/>
      <c r="Y144" s="51"/>
      <c r="Z144" s="51"/>
    </row>
    <row r="145">
      <c r="A145" s="65"/>
      <c r="B145" s="65"/>
      <c r="C145" s="65"/>
      <c r="D145" s="65"/>
      <c r="E145" s="64"/>
      <c r="F145" s="64"/>
      <c r="G145" s="64"/>
      <c r="H145" s="64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51"/>
      <c r="V145" s="51"/>
      <c r="W145" s="51"/>
      <c r="X145" s="51"/>
      <c r="Y145" s="51"/>
      <c r="Z145" s="51"/>
    </row>
    <row r="146">
      <c r="A146" s="65"/>
      <c r="B146" s="65"/>
      <c r="C146" s="65"/>
      <c r="D146" s="65"/>
      <c r="E146" s="64"/>
      <c r="F146" s="64"/>
      <c r="G146" s="64"/>
      <c r="H146" s="64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51"/>
      <c r="V146" s="51"/>
      <c r="W146" s="51"/>
      <c r="X146" s="51"/>
      <c r="Y146" s="51"/>
      <c r="Z146" s="51"/>
    </row>
    <row r="147">
      <c r="A147" s="65"/>
      <c r="B147" s="65"/>
      <c r="C147" s="65"/>
      <c r="D147" s="65"/>
      <c r="E147" s="64"/>
      <c r="F147" s="64"/>
      <c r="G147" s="64"/>
      <c r="H147" s="64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51"/>
      <c r="V147" s="51"/>
      <c r="W147" s="51"/>
      <c r="X147" s="51"/>
      <c r="Y147" s="51"/>
      <c r="Z147" s="51"/>
    </row>
    <row r="148">
      <c r="A148" s="65"/>
      <c r="B148" s="65"/>
      <c r="C148" s="65"/>
      <c r="D148" s="65"/>
      <c r="E148" s="64"/>
      <c r="F148" s="64"/>
      <c r="G148" s="64"/>
      <c r="H148" s="64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51"/>
      <c r="V148" s="51"/>
      <c r="W148" s="51"/>
      <c r="X148" s="51"/>
      <c r="Y148" s="51"/>
      <c r="Z148" s="51"/>
    </row>
    <row r="149">
      <c r="A149" s="65"/>
      <c r="B149" s="65"/>
      <c r="C149" s="65"/>
      <c r="D149" s="65"/>
      <c r="E149" s="64"/>
      <c r="F149" s="64"/>
      <c r="G149" s="64"/>
      <c r="H149" s="64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51"/>
      <c r="V149" s="51"/>
      <c r="W149" s="51"/>
      <c r="X149" s="51"/>
      <c r="Y149" s="51"/>
      <c r="Z149" s="51"/>
    </row>
    <row r="150">
      <c r="A150" s="65"/>
      <c r="B150" s="65"/>
      <c r="C150" s="65"/>
      <c r="D150" s="65"/>
      <c r="E150" s="64"/>
      <c r="F150" s="64"/>
      <c r="G150" s="64"/>
      <c r="H150" s="64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51"/>
      <c r="V150" s="51"/>
      <c r="W150" s="51"/>
      <c r="X150" s="51"/>
      <c r="Y150" s="51"/>
      <c r="Z150" s="51"/>
    </row>
    <row r="151">
      <c r="A151" s="65"/>
      <c r="B151" s="65"/>
      <c r="C151" s="65"/>
      <c r="D151" s="65"/>
      <c r="E151" s="64"/>
      <c r="F151" s="64"/>
      <c r="G151" s="64"/>
      <c r="H151" s="64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51"/>
      <c r="V151" s="51"/>
      <c r="W151" s="51"/>
      <c r="X151" s="51"/>
      <c r="Y151" s="51"/>
      <c r="Z151" s="51"/>
    </row>
    <row r="152">
      <c r="A152" s="65"/>
      <c r="B152" s="65"/>
      <c r="C152" s="65"/>
      <c r="D152" s="65"/>
      <c r="E152" s="64"/>
      <c r="F152" s="64"/>
      <c r="G152" s="64"/>
      <c r="H152" s="64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51"/>
      <c r="V152" s="51"/>
      <c r="W152" s="51"/>
      <c r="X152" s="51"/>
      <c r="Y152" s="51"/>
      <c r="Z152" s="51"/>
    </row>
    <row r="153">
      <c r="A153" s="65"/>
      <c r="B153" s="65"/>
      <c r="C153" s="65"/>
      <c r="D153" s="65"/>
      <c r="E153" s="64"/>
      <c r="F153" s="64"/>
      <c r="G153" s="64"/>
      <c r="H153" s="64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51"/>
      <c r="V153" s="51"/>
      <c r="W153" s="51"/>
      <c r="X153" s="51"/>
      <c r="Y153" s="51"/>
      <c r="Z153" s="51"/>
    </row>
    <row r="154">
      <c r="A154" s="65"/>
      <c r="B154" s="65"/>
      <c r="C154" s="65"/>
      <c r="D154" s="65"/>
      <c r="E154" s="64"/>
      <c r="F154" s="64"/>
      <c r="G154" s="64"/>
      <c r="H154" s="64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51"/>
      <c r="V154" s="51"/>
      <c r="W154" s="51"/>
      <c r="X154" s="51"/>
      <c r="Y154" s="51"/>
      <c r="Z154" s="51"/>
    </row>
    <row r="155">
      <c r="A155" s="65"/>
      <c r="B155" s="65"/>
      <c r="C155" s="65"/>
      <c r="D155" s="65"/>
      <c r="E155" s="64"/>
      <c r="F155" s="64"/>
      <c r="G155" s="64"/>
      <c r="H155" s="64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51"/>
      <c r="V155" s="51"/>
      <c r="W155" s="51"/>
      <c r="X155" s="51"/>
      <c r="Y155" s="51"/>
      <c r="Z155" s="51"/>
    </row>
    <row r="156">
      <c r="A156" s="65"/>
      <c r="B156" s="65"/>
      <c r="C156" s="65"/>
      <c r="D156" s="65"/>
      <c r="E156" s="64"/>
      <c r="F156" s="64"/>
      <c r="G156" s="64"/>
      <c r="H156" s="64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51"/>
      <c r="V156" s="51"/>
      <c r="W156" s="51"/>
      <c r="X156" s="51"/>
      <c r="Y156" s="51"/>
      <c r="Z156" s="51"/>
    </row>
    <row r="157">
      <c r="A157" s="65"/>
      <c r="B157" s="65"/>
      <c r="C157" s="65"/>
      <c r="D157" s="65"/>
      <c r="E157" s="64"/>
      <c r="F157" s="64"/>
      <c r="G157" s="64"/>
      <c r="H157" s="64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51"/>
      <c r="V157" s="51"/>
      <c r="W157" s="51"/>
      <c r="X157" s="51"/>
      <c r="Y157" s="51"/>
      <c r="Z157" s="51"/>
    </row>
    <row r="158">
      <c r="A158" s="65"/>
      <c r="B158" s="65"/>
      <c r="C158" s="65"/>
      <c r="D158" s="65"/>
      <c r="E158" s="64"/>
      <c r="F158" s="64"/>
      <c r="G158" s="64"/>
      <c r="H158" s="64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51"/>
      <c r="V158" s="51"/>
      <c r="W158" s="51"/>
      <c r="X158" s="51"/>
      <c r="Y158" s="51"/>
      <c r="Z158" s="51"/>
    </row>
    <row r="159">
      <c r="A159" s="65"/>
      <c r="B159" s="65"/>
      <c r="C159" s="65"/>
      <c r="D159" s="65"/>
      <c r="E159" s="64"/>
      <c r="F159" s="64"/>
      <c r="G159" s="64"/>
      <c r="H159" s="64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51"/>
      <c r="V159" s="51"/>
      <c r="W159" s="51"/>
      <c r="X159" s="51"/>
      <c r="Y159" s="51"/>
      <c r="Z159" s="51"/>
    </row>
    <row r="160">
      <c r="A160" s="65"/>
      <c r="B160" s="65"/>
      <c r="C160" s="65"/>
      <c r="D160" s="65"/>
      <c r="E160" s="64"/>
      <c r="F160" s="64"/>
      <c r="G160" s="64"/>
      <c r="H160" s="64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51"/>
      <c r="V160" s="51"/>
      <c r="W160" s="51"/>
      <c r="X160" s="51"/>
      <c r="Y160" s="51"/>
      <c r="Z160" s="51"/>
    </row>
    <row r="161">
      <c r="A161" s="65"/>
      <c r="B161" s="65"/>
      <c r="C161" s="65"/>
      <c r="D161" s="65"/>
      <c r="E161" s="64"/>
      <c r="F161" s="64"/>
      <c r="G161" s="64"/>
      <c r="H161" s="64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51"/>
      <c r="V161" s="51"/>
      <c r="W161" s="51"/>
      <c r="X161" s="51"/>
      <c r="Y161" s="51"/>
      <c r="Z161" s="51"/>
    </row>
    <row r="162">
      <c r="A162" s="65"/>
      <c r="B162" s="65"/>
      <c r="C162" s="65"/>
      <c r="D162" s="65"/>
      <c r="E162" s="64"/>
      <c r="F162" s="64"/>
      <c r="G162" s="64"/>
      <c r="H162" s="64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51"/>
      <c r="V162" s="51"/>
      <c r="W162" s="51"/>
      <c r="X162" s="51"/>
      <c r="Y162" s="51"/>
      <c r="Z162" s="51"/>
    </row>
    <row r="163">
      <c r="A163" s="65"/>
      <c r="B163" s="65"/>
      <c r="C163" s="65"/>
      <c r="D163" s="65"/>
      <c r="E163" s="64"/>
      <c r="F163" s="64"/>
      <c r="G163" s="64"/>
      <c r="H163" s="64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51"/>
      <c r="V163" s="51"/>
      <c r="W163" s="51"/>
      <c r="X163" s="51"/>
      <c r="Y163" s="51"/>
      <c r="Z163" s="51"/>
    </row>
    <row r="164">
      <c r="A164" s="65"/>
      <c r="B164" s="65"/>
      <c r="C164" s="65"/>
      <c r="D164" s="65"/>
      <c r="E164" s="64"/>
      <c r="F164" s="64"/>
      <c r="G164" s="64"/>
      <c r="H164" s="64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51"/>
      <c r="V164" s="51"/>
      <c r="W164" s="51"/>
      <c r="X164" s="51"/>
      <c r="Y164" s="51"/>
      <c r="Z164" s="51"/>
    </row>
    <row r="165">
      <c r="A165" s="65"/>
      <c r="B165" s="65"/>
      <c r="C165" s="65"/>
      <c r="D165" s="65"/>
      <c r="E165" s="64"/>
      <c r="F165" s="64"/>
      <c r="G165" s="64"/>
      <c r="H165" s="64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51"/>
      <c r="V165" s="51"/>
      <c r="W165" s="51"/>
      <c r="X165" s="51"/>
      <c r="Y165" s="51"/>
      <c r="Z165" s="51"/>
    </row>
    <row r="166">
      <c r="A166" s="65"/>
      <c r="B166" s="65"/>
      <c r="C166" s="65"/>
      <c r="D166" s="65"/>
      <c r="E166" s="64"/>
      <c r="F166" s="64"/>
      <c r="G166" s="64"/>
      <c r="H166" s="64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51"/>
      <c r="V166" s="51"/>
      <c r="W166" s="51"/>
      <c r="X166" s="51"/>
      <c r="Y166" s="51"/>
      <c r="Z166" s="51"/>
    </row>
    <row r="167">
      <c r="A167" s="65"/>
      <c r="B167" s="65"/>
      <c r="C167" s="65"/>
      <c r="D167" s="65"/>
      <c r="E167" s="64"/>
      <c r="F167" s="64"/>
      <c r="G167" s="64"/>
      <c r="H167" s="64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51"/>
      <c r="V167" s="51"/>
      <c r="W167" s="51"/>
      <c r="X167" s="51"/>
      <c r="Y167" s="51"/>
      <c r="Z167" s="51"/>
    </row>
    <row r="168">
      <c r="A168" s="65"/>
      <c r="B168" s="65"/>
      <c r="C168" s="65"/>
      <c r="D168" s="65"/>
      <c r="E168" s="64"/>
      <c r="F168" s="64"/>
      <c r="G168" s="64"/>
      <c r="H168" s="64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51"/>
      <c r="V168" s="51"/>
      <c r="W168" s="51"/>
      <c r="X168" s="51"/>
      <c r="Y168" s="51"/>
      <c r="Z168" s="51"/>
    </row>
    <row r="169">
      <c r="A169" s="65"/>
      <c r="B169" s="65"/>
      <c r="C169" s="65"/>
      <c r="D169" s="65"/>
      <c r="E169" s="64"/>
      <c r="F169" s="64"/>
      <c r="G169" s="64"/>
      <c r="H169" s="64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51"/>
      <c r="V169" s="51"/>
      <c r="W169" s="51"/>
      <c r="X169" s="51"/>
      <c r="Y169" s="51"/>
      <c r="Z169" s="51"/>
    </row>
    <row r="170">
      <c r="A170" s="65"/>
      <c r="B170" s="65"/>
      <c r="C170" s="65"/>
      <c r="D170" s="65"/>
      <c r="E170" s="64"/>
      <c r="F170" s="64"/>
      <c r="G170" s="64"/>
      <c r="H170" s="64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51"/>
      <c r="V170" s="51"/>
      <c r="W170" s="51"/>
      <c r="X170" s="51"/>
      <c r="Y170" s="51"/>
      <c r="Z170" s="51"/>
    </row>
    <row r="171">
      <c r="A171" s="65"/>
      <c r="B171" s="65"/>
      <c r="C171" s="65"/>
      <c r="D171" s="65"/>
      <c r="E171" s="64"/>
      <c r="F171" s="64"/>
      <c r="G171" s="64"/>
      <c r="H171" s="64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51"/>
      <c r="V171" s="51"/>
      <c r="W171" s="51"/>
      <c r="X171" s="51"/>
      <c r="Y171" s="51"/>
      <c r="Z171" s="51"/>
    </row>
    <row r="172">
      <c r="A172" s="65"/>
      <c r="B172" s="65"/>
      <c r="C172" s="65"/>
      <c r="D172" s="65"/>
      <c r="E172" s="64"/>
      <c r="F172" s="64"/>
      <c r="G172" s="64"/>
      <c r="H172" s="64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51"/>
      <c r="V172" s="51"/>
      <c r="W172" s="51"/>
      <c r="X172" s="51"/>
      <c r="Y172" s="51"/>
      <c r="Z172" s="51"/>
    </row>
    <row r="173">
      <c r="A173" s="65"/>
      <c r="B173" s="65"/>
      <c r="C173" s="65"/>
      <c r="D173" s="65"/>
      <c r="E173" s="64"/>
      <c r="F173" s="64"/>
      <c r="G173" s="64"/>
      <c r="H173" s="64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51"/>
      <c r="V173" s="51"/>
      <c r="W173" s="51"/>
      <c r="X173" s="51"/>
      <c r="Y173" s="51"/>
      <c r="Z173" s="51"/>
    </row>
    <row r="174">
      <c r="A174" s="65"/>
      <c r="B174" s="65"/>
      <c r="C174" s="65"/>
      <c r="D174" s="65"/>
      <c r="E174" s="64"/>
      <c r="F174" s="64"/>
      <c r="G174" s="64"/>
      <c r="H174" s="64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51"/>
      <c r="V174" s="51"/>
      <c r="W174" s="51"/>
      <c r="X174" s="51"/>
      <c r="Y174" s="51"/>
      <c r="Z174" s="51"/>
    </row>
    <row r="175">
      <c r="A175" s="65"/>
      <c r="B175" s="65"/>
      <c r="C175" s="65"/>
      <c r="D175" s="65"/>
      <c r="E175" s="64"/>
      <c r="F175" s="64"/>
      <c r="G175" s="64"/>
      <c r="H175" s="64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51"/>
      <c r="V175" s="51"/>
      <c r="W175" s="51"/>
      <c r="X175" s="51"/>
      <c r="Y175" s="51"/>
      <c r="Z175" s="51"/>
    </row>
    <row r="176">
      <c r="A176" s="65"/>
      <c r="B176" s="65"/>
      <c r="C176" s="65"/>
      <c r="D176" s="65"/>
      <c r="E176" s="64"/>
      <c r="F176" s="64"/>
      <c r="G176" s="64"/>
      <c r="H176" s="64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51"/>
      <c r="V176" s="51"/>
      <c r="W176" s="51"/>
      <c r="X176" s="51"/>
      <c r="Y176" s="51"/>
      <c r="Z176" s="51"/>
    </row>
    <row r="177">
      <c r="A177" s="65"/>
      <c r="B177" s="65"/>
      <c r="C177" s="65"/>
      <c r="D177" s="65"/>
      <c r="E177" s="64"/>
      <c r="F177" s="64"/>
      <c r="G177" s="64"/>
      <c r="H177" s="64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51"/>
      <c r="V177" s="51"/>
      <c r="W177" s="51"/>
      <c r="X177" s="51"/>
      <c r="Y177" s="51"/>
      <c r="Z177" s="51"/>
    </row>
    <row r="178">
      <c r="A178" s="65"/>
      <c r="B178" s="65"/>
      <c r="C178" s="65"/>
      <c r="D178" s="65"/>
      <c r="E178" s="64"/>
      <c r="F178" s="64"/>
      <c r="G178" s="64"/>
      <c r="H178" s="64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51"/>
      <c r="V178" s="51"/>
      <c r="W178" s="51"/>
      <c r="X178" s="51"/>
      <c r="Y178" s="51"/>
      <c r="Z178" s="51"/>
    </row>
    <row r="179">
      <c r="A179" s="65"/>
      <c r="B179" s="65"/>
      <c r="C179" s="65"/>
      <c r="D179" s="65"/>
      <c r="E179" s="64"/>
      <c r="F179" s="64"/>
      <c r="G179" s="64"/>
      <c r="H179" s="64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51"/>
      <c r="V179" s="51"/>
      <c r="W179" s="51"/>
      <c r="X179" s="51"/>
      <c r="Y179" s="51"/>
      <c r="Z179" s="51"/>
    </row>
    <row r="180">
      <c r="A180" s="65"/>
      <c r="B180" s="65"/>
      <c r="C180" s="65"/>
      <c r="D180" s="65"/>
      <c r="E180" s="64"/>
      <c r="F180" s="64"/>
      <c r="G180" s="64"/>
      <c r="H180" s="64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51"/>
      <c r="V180" s="51"/>
      <c r="W180" s="51"/>
      <c r="X180" s="51"/>
      <c r="Y180" s="51"/>
      <c r="Z180" s="51"/>
    </row>
    <row r="181">
      <c r="A181" s="65"/>
      <c r="B181" s="65"/>
      <c r="C181" s="65"/>
      <c r="D181" s="65"/>
      <c r="E181" s="64"/>
      <c r="F181" s="64"/>
      <c r="G181" s="64"/>
      <c r="H181" s="64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51"/>
      <c r="V181" s="51"/>
      <c r="W181" s="51"/>
      <c r="X181" s="51"/>
      <c r="Y181" s="51"/>
      <c r="Z181" s="51"/>
    </row>
    <row r="182">
      <c r="A182" s="65"/>
      <c r="B182" s="65"/>
      <c r="C182" s="65"/>
      <c r="D182" s="65"/>
      <c r="E182" s="64"/>
      <c r="F182" s="64"/>
      <c r="G182" s="64"/>
      <c r="H182" s="64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51"/>
      <c r="V182" s="51"/>
      <c r="W182" s="51"/>
      <c r="X182" s="51"/>
      <c r="Y182" s="51"/>
      <c r="Z182" s="51"/>
    </row>
    <row r="183">
      <c r="A183" s="65"/>
      <c r="B183" s="65"/>
      <c r="C183" s="65"/>
      <c r="D183" s="65"/>
      <c r="E183" s="64"/>
      <c r="F183" s="64"/>
      <c r="G183" s="64"/>
      <c r="H183" s="64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51"/>
      <c r="V183" s="51"/>
      <c r="W183" s="51"/>
      <c r="X183" s="51"/>
      <c r="Y183" s="51"/>
      <c r="Z183" s="51"/>
    </row>
    <row r="184">
      <c r="A184" s="65"/>
      <c r="B184" s="65"/>
      <c r="C184" s="65"/>
      <c r="D184" s="65"/>
      <c r="E184" s="64"/>
      <c r="F184" s="64"/>
      <c r="G184" s="64"/>
      <c r="H184" s="64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51"/>
      <c r="V184" s="51"/>
      <c r="W184" s="51"/>
      <c r="X184" s="51"/>
      <c r="Y184" s="51"/>
      <c r="Z184" s="51"/>
    </row>
    <row r="185">
      <c r="A185" s="65"/>
      <c r="B185" s="65"/>
      <c r="C185" s="65"/>
      <c r="D185" s="65"/>
      <c r="E185" s="64"/>
      <c r="F185" s="64"/>
      <c r="G185" s="64"/>
      <c r="H185" s="64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51"/>
      <c r="V185" s="51"/>
      <c r="W185" s="51"/>
      <c r="X185" s="51"/>
      <c r="Y185" s="51"/>
      <c r="Z185" s="51"/>
    </row>
    <row r="186">
      <c r="A186" s="65"/>
      <c r="B186" s="65"/>
      <c r="C186" s="65"/>
      <c r="D186" s="65"/>
      <c r="E186" s="64"/>
      <c r="F186" s="64"/>
      <c r="G186" s="64"/>
      <c r="H186" s="64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51"/>
      <c r="V186" s="51"/>
      <c r="W186" s="51"/>
      <c r="X186" s="51"/>
      <c r="Y186" s="51"/>
      <c r="Z186" s="51"/>
    </row>
    <row r="187">
      <c r="A187" s="65"/>
      <c r="B187" s="65"/>
      <c r="C187" s="65"/>
      <c r="D187" s="65"/>
      <c r="E187" s="64"/>
      <c r="F187" s="64"/>
      <c r="G187" s="64"/>
      <c r="H187" s="64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51"/>
      <c r="V187" s="51"/>
      <c r="W187" s="51"/>
      <c r="X187" s="51"/>
      <c r="Y187" s="51"/>
      <c r="Z187" s="51"/>
    </row>
    <row r="188">
      <c r="A188" s="65"/>
      <c r="B188" s="65"/>
      <c r="C188" s="65"/>
      <c r="D188" s="65"/>
      <c r="E188" s="64"/>
      <c r="F188" s="64"/>
      <c r="G188" s="64"/>
      <c r="H188" s="64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51"/>
      <c r="V188" s="51"/>
      <c r="W188" s="51"/>
      <c r="X188" s="51"/>
      <c r="Y188" s="51"/>
      <c r="Z188" s="51"/>
    </row>
    <row r="189">
      <c r="A189" s="65"/>
      <c r="B189" s="65"/>
      <c r="C189" s="65"/>
      <c r="D189" s="65"/>
      <c r="E189" s="64"/>
      <c r="F189" s="64"/>
      <c r="G189" s="64"/>
      <c r="H189" s="64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51"/>
      <c r="V189" s="51"/>
      <c r="W189" s="51"/>
      <c r="X189" s="51"/>
      <c r="Y189" s="51"/>
      <c r="Z189" s="51"/>
    </row>
    <row r="190">
      <c r="A190" s="65"/>
      <c r="B190" s="65"/>
      <c r="C190" s="65"/>
      <c r="D190" s="65"/>
      <c r="E190" s="64"/>
      <c r="F190" s="64"/>
      <c r="G190" s="64"/>
      <c r="H190" s="64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51"/>
      <c r="V190" s="51"/>
      <c r="W190" s="51"/>
      <c r="X190" s="51"/>
      <c r="Y190" s="51"/>
      <c r="Z190" s="51"/>
    </row>
    <row r="191">
      <c r="A191" s="65"/>
      <c r="B191" s="65"/>
      <c r="C191" s="65"/>
      <c r="D191" s="65"/>
      <c r="E191" s="64"/>
      <c r="F191" s="64"/>
      <c r="G191" s="64"/>
      <c r="H191" s="64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51"/>
      <c r="V191" s="51"/>
      <c r="W191" s="51"/>
      <c r="X191" s="51"/>
      <c r="Y191" s="51"/>
      <c r="Z191" s="51"/>
    </row>
    <row r="192">
      <c r="A192" s="65"/>
      <c r="B192" s="65"/>
      <c r="C192" s="65"/>
      <c r="D192" s="65"/>
      <c r="E192" s="64"/>
      <c r="F192" s="64"/>
      <c r="G192" s="64"/>
      <c r="H192" s="64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51"/>
      <c r="V192" s="51"/>
      <c r="W192" s="51"/>
      <c r="X192" s="51"/>
      <c r="Y192" s="51"/>
      <c r="Z192" s="51"/>
    </row>
    <row r="193">
      <c r="A193" s="65"/>
      <c r="B193" s="65"/>
      <c r="C193" s="65"/>
      <c r="D193" s="65"/>
      <c r="E193" s="64"/>
      <c r="F193" s="64"/>
      <c r="G193" s="64"/>
      <c r="H193" s="64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51"/>
      <c r="V193" s="51"/>
      <c r="W193" s="51"/>
      <c r="X193" s="51"/>
      <c r="Y193" s="51"/>
      <c r="Z193" s="51"/>
    </row>
    <row r="194">
      <c r="A194" s="65"/>
      <c r="B194" s="65"/>
      <c r="C194" s="65"/>
      <c r="D194" s="65"/>
      <c r="E194" s="64"/>
      <c r="F194" s="64"/>
      <c r="G194" s="64"/>
      <c r="H194" s="64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51"/>
      <c r="V194" s="51"/>
      <c r="W194" s="51"/>
      <c r="X194" s="51"/>
      <c r="Y194" s="51"/>
      <c r="Z194" s="51"/>
    </row>
    <row r="195">
      <c r="A195" s="65"/>
      <c r="B195" s="65"/>
      <c r="C195" s="65"/>
      <c r="D195" s="65"/>
      <c r="E195" s="64"/>
      <c r="F195" s="64"/>
      <c r="G195" s="64"/>
      <c r="H195" s="64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51"/>
      <c r="V195" s="51"/>
      <c r="W195" s="51"/>
      <c r="X195" s="51"/>
      <c r="Y195" s="51"/>
      <c r="Z195" s="51"/>
    </row>
    <row r="196">
      <c r="A196" s="65"/>
      <c r="B196" s="65"/>
      <c r="C196" s="65"/>
      <c r="D196" s="65"/>
      <c r="E196" s="64"/>
      <c r="F196" s="64"/>
      <c r="G196" s="64"/>
      <c r="H196" s="64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51"/>
      <c r="V196" s="51"/>
      <c r="W196" s="51"/>
      <c r="X196" s="51"/>
      <c r="Y196" s="51"/>
      <c r="Z196" s="51"/>
    </row>
    <row r="197">
      <c r="A197" s="65"/>
      <c r="B197" s="65"/>
      <c r="C197" s="65"/>
      <c r="D197" s="65"/>
      <c r="E197" s="64"/>
      <c r="F197" s="64"/>
      <c r="G197" s="64"/>
      <c r="H197" s="64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51"/>
      <c r="V197" s="51"/>
      <c r="W197" s="51"/>
      <c r="X197" s="51"/>
      <c r="Y197" s="51"/>
      <c r="Z197" s="51"/>
    </row>
    <row r="198">
      <c r="A198" s="65"/>
      <c r="B198" s="65"/>
      <c r="C198" s="65"/>
      <c r="D198" s="65"/>
      <c r="E198" s="64"/>
      <c r="F198" s="64"/>
      <c r="G198" s="64"/>
      <c r="H198" s="64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51"/>
      <c r="V198" s="51"/>
      <c r="W198" s="51"/>
      <c r="X198" s="51"/>
      <c r="Y198" s="51"/>
      <c r="Z198" s="51"/>
    </row>
    <row r="199">
      <c r="A199" s="65"/>
      <c r="B199" s="65"/>
      <c r="C199" s="65"/>
      <c r="D199" s="65"/>
      <c r="E199" s="64"/>
      <c r="F199" s="64"/>
      <c r="G199" s="64"/>
      <c r="H199" s="64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51"/>
      <c r="V199" s="51"/>
      <c r="W199" s="51"/>
      <c r="X199" s="51"/>
      <c r="Y199" s="51"/>
      <c r="Z199" s="51"/>
    </row>
    <row r="200">
      <c r="A200" s="65"/>
      <c r="B200" s="65"/>
      <c r="C200" s="65"/>
      <c r="D200" s="65"/>
      <c r="E200" s="64"/>
      <c r="F200" s="64"/>
      <c r="G200" s="64"/>
      <c r="H200" s="64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51"/>
      <c r="V200" s="51"/>
      <c r="W200" s="51"/>
      <c r="X200" s="51"/>
      <c r="Y200" s="51"/>
      <c r="Z200" s="51"/>
    </row>
    <row r="201">
      <c r="A201" s="68"/>
      <c r="B201" s="68"/>
      <c r="C201" s="68"/>
      <c r="D201" s="68"/>
      <c r="E201" s="69"/>
      <c r="F201" s="69"/>
      <c r="G201" s="69"/>
      <c r="H201" s="69"/>
      <c r="I201" s="68"/>
      <c r="J201" s="68"/>
      <c r="K201" s="68"/>
      <c r="L201" s="68"/>
      <c r="M201" s="70"/>
      <c r="N201" s="70"/>
      <c r="O201" s="70"/>
      <c r="P201" s="70"/>
      <c r="Q201" s="70"/>
      <c r="R201" s="70"/>
      <c r="S201" s="70"/>
      <c r="T201" s="70"/>
    </row>
    <row r="202">
      <c r="A202" s="68"/>
      <c r="B202" s="68"/>
      <c r="C202" s="68"/>
      <c r="D202" s="68"/>
      <c r="E202" s="69"/>
      <c r="F202" s="69"/>
      <c r="G202" s="69"/>
      <c r="H202" s="69"/>
      <c r="I202" s="68"/>
      <c r="J202" s="68"/>
      <c r="K202" s="68"/>
      <c r="L202" s="68"/>
      <c r="M202" s="70"/>
      <c r="N202" s="70"/>
      <c r="O202" s="70"/>
      <c r="P202" s="70"/>
      <c r="Q202" s="70"/>
      <c r="R202" s="70"/>
      <c r="S202" s="70"/>
      <c r="T202" s="70"/>
    </row>
    <row r="203">
      <c r="A203" s="68"/>
      <c r="B203" s="68"/>
      <c r="C203" s="68"/>
      <c r="D203" s="68"/>
      <c r="E203" s="69"/>
      <c r="F203" s="69"/>
      <c r="G203" s="69"/>
      <c r="H203" s="69"/>
      <c r="I203" s="68"/>
      <c r="J203" s="68"/>
      <c r="K203" s="68"/>
      <c r="L203" s="68"/>
      <c r="M203" s="70"/>
      <c r="N203" s="70"/>
      <c r="O203" s="70"/>
      <c r="P203" s="70"/>
      <c r="Q203" s="70"/>
      <c r="R203" s="70"/>
      <c r="S203" s="70"/>
      <c r="T203" s="70"/>
    </row>
    <row r="204">
      <c r="A204" s="68"/>
      <c r="B204" s="68"/>
      <c r="C204" s="68"/>
      <c r="D204" s="68"/>
      <c r="E204" s="69"/>
      <c r="F204" s="69"/>
      <c r="G204" s="69"/>
      <c r="H204" s="69"/>
      <c r="I204" s="68"/>
      <c r="J204" s="68"/>
      <c r="K204" s="68"/>
      <c r="L204" s="68"/>
      <c r="M204" s="70"/>
      <c r="N204" s="70"/>
      <c r="O204" s="70"/>
      <c r="P204" s="70"/>
      <c r="Q204" s="70"/>
      <c r="R204" s="70"/>
      <c r="S204" s="70"/>
      <c r="T204" s="70"/>
    </row>
    <row r="205">
      <c r="A205" s="68"/>
      <c r="B205" s="68"/>
      <c r="C205" s="68"/>
      <c r="D205" s="68"/>
      <c r="E205" s="69"/>
      <c r="F205" s="69"/>
      <c r="G205" s="69"/>
      <c r="H205" s="69"/>
      <c r="I205" s="68"/>
      <c r="J205" s="68"/>
      <c r="K205" s="68"/>
      <c r="L205" s="68"/>
      <c r="M205" s="70"/>
      <c r="N205" s="70"/>
      <c r="O205" s="70"/>
      <c r="P205" s="70"/>
      <c r="Q205" s="70"/>
      <c r="R205" s="70"/>
      <c r="S205" s="70"/>
      <c r="T205" s="70"/>
    </row>
    <row r="206">
      <c r="A206" s="68"/>
      <c r="B206" s="68"/>
      <c r="C206" s="68"/>
      <c r="D206" s="68"/>
      <c r="E206" s="69"/>
      <c r="F206" s="69"/>
      <c r="G206" s="69"/>
      <c r="H206" s="69"/>
      <c r="I206" s="68"/>
      <c r="J206" s="68"/>
      <c r="K206" s="68"/>
      <c r="L206" s="68"/>
      <c r="M206" s="70"/>
      <c r="N206" s="70"/>
      <c r="O206" s="70"/>
      <c r="P206" s="70"/>
      <c r="Q206" s="70"/>
      <c r="R206" s="70"/>
      <c r="S206" s="70"/>
      <c r="T206" s="70"/>
    </row>
    <row r="207">
      <c r="A207" s="68"/>
      <c r="B207" s="68"/>
      <c r="C207" s="68"/>
      <c r="D207" s="68"/>
      <c r="E207" s="69"/>
      <c r="F207" s="69"/>
      <c r="G207" s="69"/>
      <c r="H207" s="69"/>
      <c r="I207" s="68"/>
      <c r="J207" s="68"/>
      <c r="K207" s="68"/>
      <c r="L207" s="68"/>
      <c r="M207" s="70"/>
      <c r="N207" s="70"/>
      <c r="O207" s="70"/>
      <c r="P207" s="70"/>
      <c r="Q207" s="70"/>
      <c r="R207" s="70"/>
      <c r="S207" s="70"/>
      <c r="T207" s="70"/>
    </row>
    <row r="208">
      <c r="A208" s="68"/>
      <c r="B208" s="68"/>
      <c r="C208" s="68"/>
      <c r="D208" s="68"/>
      <c r="E208" s="69"/>
      <c r="F208" s="69"/>
      <c r="G208" s="69"/>
      <c r="H208" s="69"/>
      <c r="I208" s="68"/>
      <c r="J208" s="68"/>
      <c r="K208" s="68"/>
      <c r="L208" s="68"/>
      <c r="M208" s="70"/>
      <c r="N208" s="70"/>
      <c r="O208" s="70"/>
      <c r="P208" s="70"/>
      <c r="Q208" s="70"/>
      <c r="R208" s="70"/>
      <c r="S208" s="70"/>
      <c r="T208" s="70"/>
    </row>
    <row r="209">
      <c r="A209" s="68"/>
      <c r="B209" s="68"/>
      <c r="C209" s="68"/>
      <c r="D209" s="68"/>
      <c r="E209" s="69"/>
      <c r="F209" s="69"/>
      <c r="G209" s="69"/>
      <c r="H209" s="69"/>
      <c r="I209" s="68"/>
      <c r="J209" s="68"/>
      <c r="K209" s="68"/>
      <c r="L209" s="68"/>
      <c r="M209" s="70"/>
      <c r="N209" s="70"/>
      <c r="O209" s="70"/>
      <c r="P209" s="70"/>
      <c r="Q209" s="70"/>
      <c r="R209" s="70"/>
      <c r="S209" s="70"/>
      <c r="T209" s="70"/>
    </row>
    <row r="210">
      <c r="A210" s="68"/>
      <c r="B210" s="68"/>
      <c r="C210" s="68"/>
      <c r="D210" s="68"/>
      <c r="E210" s="69"/>
      <c r="F210" s="69"/>
      <c r="G210" s="69"/>
      <c r="H210" s="69"/>
      <c r="I210" s="68"/>
      <c r="J210" s="68"/>
      <c r="K210" s="68"/>
      <c r="L210" s="68"/>
      <c r="M210" s="70"/>
      <c r="N210" s="70"/>
      <c r="O210" s="70"/>
      <c r="P210" s="70"/>
      <c r="Q210" s="70"/>
      <c r="R210" s="70"/>
      <c r="S210" s="70"/>
      <c r="T210" s="70"/>
    </row>
    <row r="211">
      <c r="A211" s="68"/>
      <c r="B211" s="68"/>
      <c r="C211" s="68"/>
      <c r="D211" s="68"/>
      <c r="E211" s="69"/>
      <c r="F211" s="69"/>
      <c r="G211" s="69"/>
      <c r="H211" s="69"/>
      <c r="I211" s="68"/>
      <c r="J211" s="68"/>
      <c r="K211" s="68"/>
      <c r="L211" s="68"/>
      <c r="M211" s="70"/>
      <c r="N211" s="70"/>
      <c r="O211" s="70"/>
      <c r="P211" s="70"/>
      <c r="Q211" s="70"/>
      <c r="R211" s="70"/>
      <c r="S211" s="70"/>
      <c r="T211" s="70"/>
    </row>
    <row r="212">
      <c r="A212" s="68"/>
      <c r="B212" s="68"/>
      <c r="C212" s="68"/>
      <c r="D212" s="68"/>
      <c r="E212" s="69"/>
      <c r="F212" s="69"/>
      <c r="G212" s="69"/>
      <c r="H212" s="69"/>
      <c r="I212" s="68"/>
      <c r="J212" s="68"/>
      <c r="K212" s="68"/>
      <c r="L212" s="68"/>
      <c r="M212" s="70"/>
      <c r="N212" s="70"/>
      <c r="O212" s="70"/>
      <c r="P212" s="70"/>
      <c r="Q212" s="70"/>
      <c r="R212" s="70"/>
      <c r="S212" s="70"/>
      <c r="T212" s="70"/>
    </row>
    <row r="213">
      <c r="A213" s="68"/>
      <c r="B213" s="68"/>
      <c r="C213" s="68"/>
      <c r="D213" s="68"/>
      <c r="E213" s="69"/>
      <c r="F213" s="69"/>
      <c r="G213" s="69"/>
      <c r="H213" s="69"/>
      <c r="I213" s="68"/>
      <c r="J213" s="68"/>
      <c r="K213" s="68"/>
      <c r="L213" s="68"/>
      <c r="M213" s="70"/>
      <c r="N213" s="70"/>
      <c r="O213" s="70"/>
      <c r="P213" s="70"/>
      <c r="Q213" s="70"/>
      <c r="R213" s="70"/>
      <c r="S213" s="70"/>
      <c r="T213" s="70"/>
    </row>
    <row r="214">
      <c r="A214" s="68"/>
      <c r="B214" s="68"/>
      <c r="C214" s="68"/>
      <c r="D214" s="68"/>
      <c r="E214" s="69"/>
      <c r="F214" s="69"/>
      <c r="G214" s="69"/>
      <c r="H214" s="69"/>
      <c r="I214" s="68"/>
      <c r="J214" s="68"/>
      <c r="K214" s="68"/>
      <c r="L214" s="68"/>
      <c r="M214" s="70"/>
      <c r="N214" s="70"/>
      <c r="O214" s="70"/>
      <c r="P214" s="70"/>
      <c r="Q214" s="70"/>
      <c r="R214" s="70"/>
      <c r="S214" s="70"/>
      <c r="T214" s="70"/>
    </row>
    <row r="215">
      <c r="A215" s="68"/>
      <c r="B215" s="68"/>
      <c r="C215" s="68"/>
      <c r="D215" s="68"/>
      <c r="E215" s="69"/>
      <c r="F215" s="69"/>
      <c r="G215" s="69"/>
      <c r="H215" s="69"/>
      <c r="I215" s="68"/>
      <c r="J215" s="68"/>
      <c r="K215" s="68"/>
      <c r="L215" s="68"/>
      <c r="M215" s="70"/>
      <c r="N215" s="70"/>
      <c r="O215" s="70"/>
      <c r="P215" s="70"/>
      <c r="Q215" s="70"/>
      <c r="R215" s="70"/>
      <c r="S215" s="70"/>
      <c r="T215" s="70"/>
    </row>
    <row r="216">
      <c r="A216" s="68"/>
      <c r="B216" s="68"/>
      <c r="C216" s="68"/>
      <c r="D216" s="68"/>
      <c r="E216" s="69"/>
      <c r="F216" s="69"/>
      <c r="G216" s="69"/>
      <c r="H216" s="69"/>
      <c r="I216" s="68"/>
      <c r="J216" s="68"/>
      <c r="K216" s="68"/>
      <c r="L216" s="68"/>
      <c r="M216" s="70"/>
      <c r="N216" s="70"/>
      <c r="O216" s="70"/>
      <c r="P216" s="70"/>
      <c r="Q216" s="70"/>
      <c r="R216" s="70"/>
      <c r="S216" s="70"/>
      <c r="T216" s="70"/>
    </row>
    <row r="217">
      <c r="A217" s="68"/>
      <c r="B217" s="68"/>
      <c r="C217" s="68"/>
      <c r="D217" s="68"/>
      <c r="E217" s="69"/>
      <c r="F217" s="69"/>
      <c r="G217" s="69"/>
      <c r="H217" s="69"/>
      <c r="I217" s="68"/>
      <c r="J217" s="68"/>
      <c r="K217" s="68"/>
      <c r="L217" s="68"/>
      <c r="M217" s="70"/>
      <c r="N217" s="70"/>
      <c r="O217" s="70"/>
      <c r="P217" s="70"/>
      <c r="Q217" s="70"/>
      <c r="R217" s="70"/>
      <c r="S217" s="70"/>
      <c r="T217" s="70"/>
    </row>
    <row r="218">
      <c r="A218" s="68"/>
      <c r="B218" s="68"/>
      <c r="C218" s="68"/>
      <c r="D218" s="68"/>
      <c r="E218" s="69"/>
      <c r="F218" s="69"/>
      <c r="G218" s="69"/>
      <c r="H218" s="69"/>
      <c r="I218" s="68"/>
      <c r="J218" s="68"/>
      <c r="K218" s="68"/>
      <c r="L218" s="68"/>
      <c r="M218" s="70"/>
      <c r="N218" s="70"/>
      <c r="O218" s="70"/>
      <c r="P218" s="70"/>
      <c r="Q218" s="70"/>
      <c r="R218" s="70"/>
      <c r="S218" s="70"/>
      <c r="T218" s="70"/>
    </row>
    <row r="219">
      <c r="A219" s="68"/>
      <c r="B219" s="68"/>
      <c r="C219" s="68"/>
      <c r="D219" s="68"/>
      <c r="E219" s="69"/>
      <c r="F219" s="69"/>
      <c r="G219" s="69"/>
      <c r="H219" s="69"/>
      <c r="I219" s="68"/>
      <c r="J219" s="68"/>
      <c r="K219" s="68"/>
      <c r="L219" s="68"/>
      <c r="M219" s="70"/>
      <c r="N219" s="70"/>
      <c r="O219" s="70"/>
      <c r="P219" s="70"/>
      <c r="Q219" s="70"/>
      <c r="R219" s="70"/>
      <c r="S219" s="70"/>
      <c r="T219" s="70"/>
    </row>
    <row r="220">
      <c r="A220" s="68"/>
      <c r="B220" s="68"/>
      <c r="C220" s="68"/>
      <c r="D220" s="68"/>
      <c r="E220" s="69"/>
      <c r="F220" s="69"/>
      <c r="G220" s="69"/>
      <c r="H220" s="69"/>
      <c r="I220" s="68"/>
      <c r="J220" s="68"/>
      <c r="K220" s="68"/>
      <c r="L220" s="68"/>
      <c r="M220" s="70"/>
      <c r="N220" s="70"/>
      <c r="O220" s="70"/>
      <c r="P220" s="70"/>
      <c r="Q220" s="70"/>
      <c r="R220" s="70"/>
      <c r="S220" s="70"/>
      <c r="T220" s="70"/>
    </row>
    <row r="221">
      <c r="A221" s="68"/>
      <c r="B221" s="68"/>
      <c r="C221" s="68"/>
      <c r="D221" s="68"/>
      <c r="E221" s="69"/>
      <c r="F221" s="69"/>
      <c r="G221" s="69"/>
      <c r="H221" s="69"/>
      <c r="I221" s="68"/>
      <c r="J221" s="68"/>
      <c r="K221" s="68"/>
      <c r="L221" s="68"/>
      <c r="M221" s="70"/>
      <c r="N221" s="70"/>
      <c r="O221" s="70"/>
      <c r="P221" s="70"/>
      <c r="Q221" s="70"/>
      <c r="R221" s="70"/>
      <c r="S221" s="70"/>
      <c r="T221" s="70"/>
    </row>
    <row r="222">
      <c r="A222" s="68"/>
      <c r="B222" s="68"/>
      <c r="C222" s="68"/>
      <c r="D222" s="68"/>
      <c r="E222" s="69"/>
      <c r="F222" s="69"/>
      <c r="G222" s="69"/>
      <c r="H222" s="69"/>
      <c r="I222" s="68"/>
      <c r="J222" s="68"/>
      <c r="K222" s="68"/>
      <c r="L222" s="68"/>
      <c r="M222" s="70"/>
      <c r="N222" s="70"/>
      <c r="O222" s="70"/>
      <c r="P222" s="70"/>
      <c r="Q222" s="70"/>
      <c r="R222" s="70"/>
      <c r="S222" s="70"/>
      <c r="T222" s="70"/>
    </row>
    <row r="223">
      <c r="A223" s="68"/>
      <c r="B223" s="68"/>
      <c r="C223" s="68"/>
      <c r="D223" s="68"/>
      <c r="E223" s="69"/>
      <c r="F223" s="69"/>
      <c r="G223" s="69"/>
      <c r="H223" s="69"/>
      <c r="I223" s="68"/>
      <c r="J223" s="68"/>
      <c r="K223" s="68"/>
      <c r="L223" s="68"/>
      <c r="M223" s="70"/>
      <c r="N223" s="70"/>
      <c r="O223" s="70"/>
      <c r="P223" s="70"/>
      <c r="Q223" s="70"/>
      <c r="R223" s="70"/>
      <c r="S223" s="70"/>
      <c r="T223" s="70"/>
    </row>
    <row r="224">
      <c r="A224" s="68"/>
      <c r="B224" s="68"/>
      <c r="C224" s="68"/>
      <c r="D224" s="68"/>
      <c r="E224" s="69"/>
      <c r="F224" s="69"/>
      <c r="G224" s="69"/>
      <c r="H224" s="69"/>
      <c r="I224" s="68"/>
      <c r="J224" s="68"/>
      <c r="K224" s="68"/>
      <c r="L224" s="68"/>
      <c r="M224" s="70"/>
      <c r="N224" s="70"/>
      <c r="O224" s="70"/>
      <c r="P224" s="70"/>
      <c r="Q224" s="70"/>
      <c r="R224" s="70"/>
      <c r="S224" s="70"/>
      <c r="T224" s="70"/>
    </row>
    <row r="225">
      <c r="A225" s="68"/>
      <c r="B225" s="68"/>
      <c r="C225" s="68"/>
      <c r="D225" s="68"/>
      <c r="E225" s="69"/>
      <c r="F225" s="69"/>
      <c r="G225" s="69"/>
      <c r="H225" s="69"/>
      <c r="I225" s="68"/>
      <c r="J225" s="68"/>
      <c r="K225" s="68"/>
      <c r="L225" s="68"/>
      <c r="M225" s="70"/>
      <c r="N225" s="70"/>
      <c r="O225" s="70"/>
      <c r="P225" s="70"/>
      <c r="Q225" s="70"/>
      <c r="R225" s="70"/>
      <c r="S225" s="70"/>
      <c r="T225" s="70"/>
    </row>
    <row r="226">
      <c r="A226" s="68"/>
      <c r="B226" s="68"/>
      <c r="C226" s="68"/>
      <c r="D226" s="68"/>
      <c r="E226" s="69"/>
      <c r="F226" s="69"/>
      <c r="G226" s="69"/>
      <c r="H226" s="69"/>
      <c r="I226" s="68"/>
      <c r="J226" s="68"/>
      <c r="K226" s="68"/>
      <c r="L226" s="68"/>
      <c r="M226" s="70"/>
      <c r="N226" s="70"/>
      <c r="O226" s="70"/>
      <c r="P226" s="70"/>
      <c r="Q226" s="70"/>
      <c r="R226" s="70"/>
      <c r="S226" s="70"/>
      <c r="T226" s="70"/>
    </row>
    <row r="227">
      <c r="A227" s="68"/>
      <c r="B227" s="68"/>
      <c r="C227" s="68"/>
      <c r="D227" s="68"/>
      <c r="E227" s="69"/>
      <c r="F227" s="69"/>
      <c r="G227" s="69"/>
      <c r="H227" s="69"/>
      <c r="I227" s="68"/>
      <c r="J227" s="68"/>
      <c r="K227" s="68"/>
      <c r="L227" s="68"/>
      <c r="M227" s="70"/>
      <c r="N227" s="70"/>
      <c r="O227" s="70"/>
      <c r="P227" s="70"/>
      <c r="Q227" s="70"/>
      <c r="R227" s="70"/>
      <c r="S227" s="70"/>
      <c r="T227" s="70"/>
    </row>
    <row r="228">
      <c r="A228" s="68"/>
      <c r="B228" s="68"/>
      <c r="C228" s="68"/>
      <c r="D228" s="68"/>
      <c r="E228" s="69"/>
      <c r="F228" s="69"/>
      <c r="G228" s="69"/>
      <c r="H228" s="69"/>
      <c r="I228" s="68"/>
      <c r="J228" s="68"/>
      <c r="K228" s="68"/>
      <c r="L228" s="68"/>
      <c r="M228" s="70"/>
      <c r="N228" s="70"/>
      <c r="O228" s="70"/>
      <c r="P228" s="70"/>
      <c r="Q228" s="70"/>
      <c r="R228" s="70"/>
      <c r="S228" s="70"/>
      <c r="T228" s="70"/>
    </row>
    <row r="229">
      <c r="A229" s="68"/>
      <c r="B229" s="68"/>
      <c r="C229" s="68"/>
      <c r="D229" s="68"/>
      <c r="E229" s="69"/>
      <c r="F229" s="69"/>
      <c r="G229" s="69"/>
      <c r="H229" s="69"/>
      <c r="I229" s="68"/>
      <c r="J229" s="68"/>
      <c r="K229" s="68"/>
      <c r="L229" s="68"/>
      <c r="M229" s="70"/>
      <c r="N229" s="70"/>
      <c r="O229" s="70"/>
      <c r="P229" s="70"/>
      <c r="Q229" s="70"/>
      <c r="R229" s="70"/>
      <c r="S229" s="70"/>
      <c r="T229" s="70"/>
    </row>
    <row r="230">
      <c r="A230" s="68"/>
      <c r="B230" s="68"/>
      <c r="C230" s="68"/>
      <c r="D230" s="68"/>
      <c r="E230" s="69"/>
      <c r="F230" s="69"/>
      <c r="G230" s="69"/>
      <c r="H230" s="69"/>
      <c r="I230" s="68"/>
      <c r="J230" s="68"/>
      <c r="K230" s="68"/>
      <c r="L230" s="68"/>
      <c r="M230" s="70"/>
      <c r="N230" s="70"/>
      <c r="O230" s="70"/>
      <c r="P230" s="70"/>
      <c r="Q230" s="70"/>
      <c r="R230" s="70"/>
      <c r="S230" s="70"/>
      <c r="T230" s="70"/>
    </row>
    <row r="231">
      <c r="A231" s="68"/>
      <c r="B231" s="68"/>
      <c r="C231" s="68"/>
      <c r="D231" s="68"/>
      <c r="E231" s="69"/>
      <c r="F231" s="69"/>
      <c r="G231" s="69"/>
      <c r="H231" s="69"/>
      <c r="I231" s="68"/>
      <c r="J231" s="68"/>
      <c r="K231" s="68"/>
      <c r="L231" s="68"/>
      <c r="M231" s="70"/>
      <c r="N231" s="70"/>
      <c r="O231" s="70"/>
      <c r="P231" s="70"/>
      <c r="Q231" s="70"/>
      <c r="R231" s="70"/>
      <c r="S231" s="70"/>
      <c r="T231" s="70"/>
    </row>
    <row r="232">
      <c r="A232" s="68"/>
      <c r="B232" s="68"/>
      <c r="C232" s="68"/>
      <c r="D232" s="68"/>
      <c r="E232" s="69"/>
      <c r="F232" s="69"/>
      <c r="G232" s="69"/>
      <c r="H232" s="69"/>
      <c r="I232" s="68"/>
      <c r="J232" s="68"/>
      <c r="K232" s="68"/>
      <c r="L232" s="68"/>
      <c r="M232" s="70"/>
      <c r="N232" s="70"/>
      <c r="O232" s="70"/>
      <c r="P232" s="70"/>
      <c r="Q232" s="70"/>
      <c r="R232" s="70"/>
      <c r="S232" s="70"/>
      <c r="T232" s="70"/>
    </row>
    <row r="233">
      <c r="A233" s="68"/>
      <c r="B233" s="68"/>
      <c r="C233" s="68"/>
      <c r="D233" s="68"/>
      <c r="E233" s="69"/>
      <c r="F233" s="69"/>
      <c r="G233" s="69"/>
      <c r="H233" s="69"/>
      <c r="I233" s="68"/>
      <c r="J233" s="68"/>
      <c r="K233" s="68"/>
      <c r="L233" s="68"/>
      <c r="M233" s="70"/>
      <c r="N233" s="70"/>
      <c r="O233" s="70"/>
      <c r="P233" s="70"/>
      <c r="Q233" s="70"/>
      <c r="R233" s="70"/>
      <c r="S233" s="70"/>
      <c r="T233" s="70"/>
    </row>
    <row r="234">
      <c r="A234" s="68"/>
      <c r="B234" s="68"/>
      <c r="C234" s="68"/>
      <c r="D234" s="68"/>
      <c r="E234" s="69"/>
      <c r="F234" s="69"/>
      <c r="G234" s="69"/>
      <c r="H234" s="69"/>
      <c r="I234" s="68"/>
      <c r="J234" s="68"/>
      <c r="K234" s="68"/>
      <c r="L234" s="68"/>
      <c r="M234" s="70"/>
      <c r="N234" s="70"/>
      <c r="O234" s="70"/>
      <c r="P234" s="70"/>
      <c r="Q234" s="70"/>
      <c r="R234" s="70"/>
      <c r="S234" s="70"/>
      <c r="T234" s="70"/>
    </row>
    <row r="235">
      <c r="A235" s="68"/>
      <c r="B235" s="68"/>
      <c r="C235" s="68"/>
      <c r="D235" s="68"/>
      <c r="E235" s="69"/>
      <c r="F235" s="69"/>
      <c r="G235" s="69"/>
      <c r="H235" s="69"/>
      <c r="I235" s="68"/>
      <c r="J235" s="68"/>
      <c r="K235" s="68"/>
      <c r="L235" s="68"/>
      <c r="M235" s="70"/>
      <c r="N235" s="70"/>
      <c r="O235" s="70"/>
      <c r="P235" s="70"/>
      <c r="Q235" s="70"/>
      <c r="R235" s="70"/>
      <c r="S235" s="70"/>
      <c r="T235" s="70"/>
    </row>
    <row r="236">
      <c r="A236" s="68"/>
      <c r="B236" s="68"/>
      <c r="C236" s="68"/>
      <c r="D236" s="68"/>
      <c r="E236" s="69"/>
      <c r="F236" s="69"/>
      <c r="G236" s="69"/>
      <c r="H236" s="69"/>
      <c r="I236" s="68"/>
      <c r="J236" s="68"/>
      <c r="K236" s="68"/>
      <c r="L236" s="68"/>
      <c r="M236" s="70"/>
      <c r="N236" s="70"/>
      <c r="O236" s="70"/>
      <c r="P236" s="70"/>
      <c r="Q236" s="70"/>
      <c r="R236" s="70"/>
      <c r="S236" s="70"/>
      <c r="T236" s="70"/>
    </row>
    <row r="237">
      <c r="A237" s="68"/>
      <c r="B237" s="68"/>
      <c r="C237" s="68"/>
      <c r="D237" s="68"/>
      <c r="E237" s="69"/>
      <c r="F237" s="69"/>
      <c r="G237" s="69"/>
      <c r="H237" s="69"/>
      <c r="I237" s="68"/>
      <c r="J237" s="68"/>
      <c r="K237" s="68"/>
      <c r="L237" s="68"/>
      <c r="M237" s="70"/>
      <c r="N237" s="70"/>
      <c r="O237" s="70"/>
      <c r="P237" s="70"/>
      <c r="Q237" s="70"/>
      <c r="R237" s="70"/>
      <c r="S237" s="70"/>
      <c r="T237" s="70"/>
    </row>
    <row r="238">
      <c r="A238" s="68"/>
      <c r="B238" s="68"/>
      <c r="C238" s="68"/>
      <c r="D238" s="68"/>
      <c r="E238" s="69"/>
      <c r="F238" s="69"/>
      <c r="G238" s="69"/>
      <c r="H238" s="69"/>
      <c r="I238" s="68"/>
      <c r="J238" s="68"/>
      <c r="K238" s="68"/>
      <c r="L238" s="68"/>
      <c r="M238" s="70"/>
      <c r="N238" s="70"/>
      <c r="O238" s="70"/>
      <c r="P238" s="70"/>
      <c r="Q238" s="70"/>
      <c r="R238" s="70"/>
      <c r="S238" s="70"/>
      <c r="T238" s="70"/>
    </row>
    <row r="239">
      <c r="A239" s="68"/>
      <c r="B239" s="68"/>
      <c r="C239" s="68"/>
      <c r="D239" s="68"/>
      <c r="E239" s="69"/>
      <c r="F239" s="69"/>
      <c r="G239" s="69"/>
      <c r="H239" s="69"/>
      <c r="I239" s="68"/>
      <c r="J239" s="68"/>
      <c r="K239" s="68"/>
      <c r="L239" s="68"/>
      <c r="M239" s="70"/>
      <c r="N239" s="70"/>
      <c r="O239" s="70"/>
      <c r="P239" s="70"/>
      <c r="Q239" s="70"/>
      <c r="R239" s="70"/>
      <c r="S239" s="70"/>
      <c r="T239" s="70"/>
    </row>
    <row r="240">
      <c r="A240" s="68"/>
      <c r="B240" s="68"/>
      <c r="C240" s="68"/>
      <c r="D240" s="68"/>
      <c r="E240" s="69"/>
      <c r="F240" s="69"/>
      <c r="G240" s="69"/>
      <c r="H240" s="69"/>
      <c r="I240" s="68"/>
      <c r="J240" s="68"/>
      <c r="K240" s="68"/>
      <c r="L240" s="68"/>
      <c r="M240" s="70"/>
      <c r="N240" s="70"/>
      <c r="O240" s="70"/>
      <c r="P240" s="70"/>
      <c r="Q240" s="70"/>
      <c r="R240" s="70"/>
      <c r="S240" s="70"/>
      <c r="T240" s="70"/>
    </row>
    <row r="241">
      <c r="A241" s="68"/>
      <c r="B241" s="68"/>
      <c r="C241" s="68"/>
      <c r="D241" s="68"/>
      <c r="E241" s="69"/>
      <c r="F241" s="69"/>
      <c r="G241" s="69"/>
      <c r="H241" s="69"/>
      <c r="I241" s="68"/>
      <c r="J241" s="68"/>
      <c r="K241" s="68"/>
      <c r="L241" s="68"/>
      <c r="M241" s="70"/>
      <c r="N241" s="70"/>
      <c r="O241" s="70"/>
      <c r="P241" s="70"/>
      <c r="Q241" s="70"/>
      <c r="R241" s="70"/>
      <c r="S241" s="70"/>
      <c r="T241" s="70"/>
    </row>
    <row r="242">
      <c r="A242" s="68"/>
      <c r="B242" s="68"/>
      <c r="C242" s="68"/>
      <c r="D242" s="68"/>
      <c r="E242" s="69"/>
      <c r="F242" s="69"/>
      <c r="G242" s="69"/>
      <c r="H242" s="69"/>
      <c r="I242" s="68"/>
      <c r="J242" s="68"/>
      <c r="K242" s="68"/>
      <c r="L242" s="68"/>
      <c r="M242" s="70"/>
      <c r="N242" s="70"/>
      <c r="O242" s="70"/>
      <c r="P242" s="70"/>
      <c r="Q242" s="70"/>
      <c r="R242" s="70"/>
      <c r="S242" s="70"/>
      <c r="T242" s="70"/>
    </row>
    <row r="243">
      <c r="A243" s="68"/>
      <c r="B243" s="68"/>
      <c r="C243" s="68"/>
      <c r="D243" s="68"/>
      <c r="E243" s="69"/>
      <c r="F243" s="69"/>
      <c r="G243" s="69"/>
      <c r="H243" s="69"/>
      <c r="I243" s="68"/>
      <c r="J243" s="68"/>
      <c r="K243" s="68"/>
      <c r="L243" s="68"/>
      <c r="M243" s="70"/>
      <c r="N243" s="70"/>
      <c r="O243" s="70"/>
      <c r="P243" s="70"/>
      <c r="Q243" s="70"/>
      <c r="R243" s="70"/>
      <c r="S243" s="70"/>
      <c r="T243" s="70"/>
    </row>
    <row r="244">
      <c r="A244" s="68"/>
      <c r="B244" s="68"/>
      <c r="C244" s="68"/>
      <c r="D244" s="68"/>
      <c r="E244" s="69"/>
      <c r="F244" s="69"/>
      <c r="G244" s="69"/>
      <c r="H244" s="69"/>
      <c r="I244" s="68"/>
      <c r="J244" s="68"/>
      <c r="K244" s="68"/>
      <c r="L244" s="68"/>
      <c r="M244" s="70"/>
      <c r="N244" s="70"/>
      <c r="O244" s="70"/>
      <c r="P244" s="70"/>
      <c r="Q244" s="70"/>
      <c r="R244" s="70"/>
      <c r="S244" s="70"/>
      <c r="T244" s="70"/>
    </row>
    <row r="245">
      <c r="A245" s="68"/>
      <c r="B245" s="68"/>
      <c r="C245" s="68"/>
      <c r="D245" s="68"/>
      <c r="E245" s="69"/>
      <c r="F245" s="69"/>
      <c r="G245" s="69"/>
      <c r="H245" s="69"/>
      <c r="I245" s="68"/>
      <c r="J245" s="68"/>
      <c r="K245" s="68"/>
      <c r="L245" s="68"/>
      <c r="M245" s="70"/>
      <c r="N245" s="70"/>
      <c r="O245" s="70"/>
      <c r="P245" s="70"/>
      <c r="Q245" s="70"/>
      <c r="R245" s="70"/>
      <c r="S245" s="70"/>
      <c r="T245" s="70"/>
    </row>
    <row r="246">
      <c r="A246" s="68"/>
      <c r="B246" s="68"/>
      <c r="C246" s="68"/>
      <c r="D246" s="68"/>
      <c r="E246" s="69"/>
      <c r="F246" s="69"/>
      <c r="G246" s="69"/>
      <c r="H246" s="69"/>
      <c r="I246" s="68"/>
      <c r="J246" s="68"/>
      <c r="K246" s="68"/>
      <c r="L246" s="68"/>
      <c r="M246" s="70"/>
      <c r="N246" s="70"/>
      <c r="O246" s="70"/>
      <c r="P246" s="70"/>
      <c r="Q246" s="70"/>
      <c r="R246" s="70"/>
      <c r="S246" s="70"/>
      <c r="T246" s="70"/>
    </row>
    <row r="247">
      <c r="A247" s="68"/>
      <c r="B247" s="68"/>
      <c r="C247" s="68"/>
      <c r="D247" s="68"/>
      <c r="E247" s="69"/>
      <c r="F247" s="69"/>
      <c r="G247" s="69"/>
      <c r="H247" s="69"/>
      <c r="I247" s="68"/>
      <c r="J247" s="68"/>
      <c r="K247" s="68"/>
      <c r="L247" s="68"/>
      <c r="M247" s="70"/>
      <c r="N247" s="70"/>
      <c r="O247" s="70"/>
      <c r="P247" s="70"/>
      <c r="Q247" s="70"/>
      <c r="R247" s="70"/>
      <c r="S247" s="70"/>
      <c r="T247" s="70"/>
    </row>
    <row r="248">
      <c r="A248" s="68"/>
      <c r="B248" s="68"/>
      <c r="C248" s="68"/>
      <c r="D248" s="68"/>
      <c r="E248" s="69"/>
      <c r="F248" s="69"/>
      <c r="G248" s="69"/>
      <c r="H248" s="69"/>
      <c r="I248" s="68"/>
      <c r="J248" s="68"/>
      <c r="K248" s="68"/>
      <c r="L248" s="68"/>
      <c r="M248" s="70"/>
      <c r="N248" s="70"/>
      <c r="O248" s="70"/>
      <c r="P248" s="70"/>
      <c r="Q248" s="70"/>
      <c r="R248" s="70"/>
      <c r="S248" s="70"/>
      <c r="T248" s="70"/>
    </row>
    <row r="249">
      <c r="A249" s="68"/>
      <c r="B249" s="68"/>
      <c r="C249" s="68"/>
      <c r="D249" s="68"/>
      <c r="E249" s="69"/>
      <c r="F249" s="69"/>
      <c r="G249" s="69"/>
      <c r="H249" s="69"/>
      <c r="I249" s="68"/>
      <c r="J249" s="68"/>
      <c r="K249" s="68"/>
      <c r="L249" s="68"/>
      <c r="M249" s="70"/>
      <c r="N249" s="70"/>
      <c r="O249" s="70"/>
      <c r="P249" s="70"/>
      <c r="Q249" s="70"/>
      <c r="R249" s="70"/>
      <c r="S249" s="70"/>
      <c r="T249" s="70"/>
    </row>
    <row r="250">
      <c r="A250" s="68"/>
      <c r="B250" s="68"/>
      <c r="C250" s="68"/>
      <c r="D250" s="68"/>
      <c r="E250" s="69"/>
      <c r="F250" s="69"/>
      <c r="G250" s="69"/>
      <c r="H250" s="69"/>
      <c r="I250" s="68"/>
      <c r="J250" s="68"/>
      <c r="K250" s="68"/>
      <c r="L250" s="68"/>
      <c r="M250" s="70"/>
      <c r="N250" s="70"/>
      <c r="O250" s="70"/>
      <c r="P250" s="70"/>
      <c r="Q250" s="70"/>
      <c r="R250" s="70"/>
      <c r="S250" s="70"/>
      <c r="T250" s="70"/>
    </row>
    <row r="251">
      <c r="A251" s="68"/>
      <c r="B251" s="68"/>
      <c r="C251" s="68"/>
      <c r="D251" s="68"/>
      <c r="E251" s="69"/>
      <c r="F251" s="69"/>
      <c r="G251" s="69"/>
      <c r="H251" s="69"/>
      <c r="I251" s="68"/>
      <c r="J251" s="68"/>
      <c r="K251" s="68"/>
      <c r="L251" s="68"/>
      <c r="M251" s="70"/>
      <c r="N251" s="70"/>
      <c r="O251" s="70"/>
      <c r="P251" s="70"/>
      <c r="Q251" s="70"/>
      <c r="R251" s="70"/>
      <c r="S251" s="70"/>
      <c r="T251" s="70"/>
    </row>
    <row r="252">
      <c r="A252" s="68"/>
      <c r="B252" s="68"/>
      <c r="C252" s="68"/>
      <c r="D252" s="68"/>
      <c r="E252" s="69"/>
      <c r="F252" s="69"/>
      <c r="G252" s="69"/>
      <c r="H252" s="69"/>
      <c r="I252" s="68"/>
      <c r="J252" s="68"/>
      <c r="K252" s="68"/>
      <c r="L252" s="68"/>
      <c r="M252" s="70"/>
      <c r="N252" s="70"/>
      <c r="O252" s="70"/>
      <c r="P252" s="70"/>
      <c r="Q252" s="70"/>
      <c r="R252" s="70"/>
      <c r="S252" s="70"/>
      <c r="T252" s="70"/>
    </row>
    <row r="253">
      <c r="A253" s="68"/>
      <c r="B253" s="68"/>
      <c r="C253" s="68"/>
      <c r="D253" s="68"/>
      <c r="E253" s="69"/>
      <c r="F253" s="69"/>
      <c r="G253" s="69"/>
      <c r="H253" s="69"/>
      <c r="I253" s="68"/>
      <c r="J253" s="68"/>
      <c r="K253" s="68"/>
      <c r="L253" s="68"/>
      <c r="M253" s="70"/>
      <c r="N253" s="70"/>
      <c r="O253" s="70"/>
      <c r="P253" s="70"/>
      <c r="Q253" s="70"/>
      <c r="R253" s="70"/>
      <c r="S253" s="70"/>
      <c r="T253" s="70"/>
    </row>
    <row r="254">
      <c r="A254" s="68"/>
      <c r="B254" s="68"/>
      <c r="C254" s="68"/>
      <c r="D254" s="68"/>
      <c r="E254" s="69"/>
      <c r="F254" s="69"/>
      <c r="G254" s="69"/>
      <c r="H254" s="69"/>
      <c r="I254" s="68"/>
      <c r="J254" s="68"/>
      <c r="K254" s="68"/>
      <c r="L254" s="68"/>
      <c r="M254" s="70"/>
      <c r="N254" s="70"/>
      <c r="O254" s="70"/>
      <c r="P254" s="70"/>
      <c r="Q254" s="70"/>
      <c r="R254" s="70"/>
      <c r="S254" s="70"/>
      <c r="T254" s="70"/>
    </row>
    <row r="255">
      <c r="A255" s="68"/>
      <c r="B255" s="68"/>
      <c r="C255" s="68"/>
      <c r="D255" s="68"/>
      <c r="E255" s="69"/>
      <c r="F255" s="69"/>
      <c r="G255" s="69"/>
      <c r="H255" s="69"/>
      <c r="I255" s="68"/>
      <c r="J255" s="68"/>
      <c r="K255" s="68"/>
      <c r="L255" s="68"/>
      <c r="M255" s="70"/>
      <c r="N255" s="70"/>
      <c r="O255" s="70"/>
      <c r="P255" s="70"/>
      <c r="Q255" s="70"/>
      <c r="R255" s="70"/>
      <c r="S255" s="70"/>
      <c r="T255" s="70"/>
    </row>
    <row r="256">
      <c r="A256" s="68"/>
      <c r="B256" s="68"/>
      <c r="C256" s="68"/>
      <c r="D256" s="68"/>
      <c r="E256" s="69"/>
      <c r="F256" s="69"/>
      <c r="G256" s="69"/>
      <c r="H256" s="69"/>
      <c r="I256" s="68"/>
      <c r="J256" s="68"/>
      <c r="K256" s="68"/>
      <c r="L256" s="68"/>
      <c r="M256" s="70"/>
      <c r="N256" s="70"/>
      <c r="O256" s="70"/>
      <c r="P256" s="70"/>
      <c r="Q256" s="70"/>
      <c r="R256" s="70"/>
      <c r="S256" s="70"/>
      <c r="T256" s="70"/>
    </row>
    <row r="257">
      <c r="A257" s="68"/>
      <c r="B257" s="68"/>
      <c r="C257" s="68"/>
      <c r="D257" s="68"/>
      <c r="E257" s="69"/>
      <c r="F257" s="69"/>
      <c r="G257" s="69"/>
      <c r="H257" s="69"/>
      <c r="I257" s="68"/>
      <c r="J257" s="68"/>
      <c r="K257" s="68"/>
      <c r="L257" s="68"/>
      <c r="M257" s="70"/>
      <c r="N257" s="70"/>
      <c r="O257" s="70"/>
      <c r="P257" s="70"/>
      <c r="Q257" s="70"/>
      <c r="R257" s="70"/>
      <c r="S257" s="70"/>
      <c r="T257" s="70"/>
    </row>
    <row r="258">
      <c r="A258" s="68"/>
      <c r="B258" s="68"/>
      <c r="C258" s="68"/>
      <c r="D258" s="68"/>
      <c r="E258" s="69"/>
      <c r="F258" s="69"/>
      <c r="G258" s="69"/>
      <c r="H258" s="69"/>
      <c r="I258" s="68"/>
      <c r="J258" s="68"/>
      <c r="K258" s="68"/>
      <c r="L258" s="68"/>
      <c r="M258" s="70"/>
      <c r="N258" s="70"/>
      <c r="O258" s="70"/>
      <c r="P258" s="70"/>
      <c r="Q258" s="70"/>
      <c r="R258" s="70"/>
      <c r="S258" s="70"/>
      <c r="T258" s="70"/>
    </row>
    <row r="259">
      <c r="A259" s="68"/>
      <c r="B259" s="68"/>
      <c r="C259" s="68"/>
      <c r="D259" s="68"/>
      <c r="E259" s="69"/>
      <c r="F259" s="69"/>
      <c r="G259" s="69"/>
      <c r="H259" s="69"/>
      <c r="I259" s="68"/>
      <c r="J259" s="68"/>
      <c r="K259" s="68"/>
      <c r="L259" s="68"/>
      <c r="M259" s="70"/>
      <c r="N259" s="70"/>
      <c r="O259" s="70"/>
      <c r="P259" s="70"/>
      <c r="Q259" s="70"/>
      <c r="R259" s="70"/>
      <c r="S259" s="70"/>
      <c r="T259" s="70"/>
    </row>
    <row r="260">
      <c r="A260" s="68"/>
      <c r="B260" s="68"/>
      <c r="C260" s="68"/>
      <c r="D260" s="68"/>
      <c r="E260" s="69"/>
      <c r="F260" s="69"/>
      <c r="G260" s="69"/>
      <c r="H260" s="69"/>
      <c r="I260" s="68"/>
      <c r="J260" s="68"/>
      <c r="K260" s="68"/>
      <c r="L260" s="68"/>
      <c r="M260" s="70"/>
      <c r="N260" s="70"/>
      <c r="O260" s="70"/>
      <c r="P260" s="70"/>
      <c r="Q260" s="70"/>
      <c r="R260" s="70"/>
      <c r="S260" s="70"/>
      <c r="T260" s="70"/>
    </row>
    <row r="261">
      <c r="A261" s="71"/>
      <c r="E261" s="72"/>
      <c r="F261" s="72"/>
      <c r="G261" s="72"/>
    </row>
    <row r="262">
      <c r="A262" s="71"/>
      <c r="E262" s="72"/>
      <c r="F262" s="72"/>
      <c r="G262" s="72"/>
    </row>
    <row r="263">
      <c r="A263" s="71"/>
      <c r="E263" s="72"/>
      <c r="F263" s="72"/>
      <c r="G263" s="72"/>
    </row>
    <row r="264">
      <c r="A264" s="71"/>
      <c r="E264" s="72"/>
      <c r="F264" s="72"/>
      <c r="G264" s="72"/>
    </row>
    <row r="265">
      <c r="A265" s="71"/>
      <c r="E265" s="72"/>
      <c r="F265" s="72"/>
      <c r="G265" s="72"/>
    </row>
    <row r="266">
      <c r="A266" s="71"/>
      <c r="E266" s="72"/>
      <c r="F266" s="72"/>
      <c r="G266" s="72"/>
    </row>
    <row r="267">
      <c r="A267" s="71"/>
      <c r="E267" s="72"/>
      <c r="F267" s="72"/>
      <c r="G267" s="72"/>
    </row>
    <row r="268">
      <c r="A268" s="71"/>
      <c r="E268" s="72"/>
      <c r="F268" s="72"/>
      <c r="G268" s="72"/>
    </row>
    <row r="269">
      <c r="A269" s="71"/>
      <c r="E269" s="72"/>
      <c r="F269" s="72"/>
      <c r="G269" s="72"/>
    </row>
    <row r="270">
      <c r="A270" s="71"/>
      <c r="E270" s="72"/>
      <c r="F270" s="72"/>
      <c r="G270" s="72"/>
    </row>
    <row r="271">
      <c r="A271" s="71"/>
      <c r="E271" s="72"/>
      <c r="F271" s="72"/>
      <c r="G271" s="72"/>
    </row>
    <row r="272">
      <c r="A272" s="71"/>
      <c r="E272" s="72"/>
      <c r="F272" s="72"/>
      <c r="G272" s="72"/>
    </row>
    <row r="273">
      <c r="A273" s="71"/>
      <c r="E273" s="72"/>
      <c r="F273" s="72"/>
      <c r="G273" s="72"/>
    </row>
    <row r="274">
      <c r="A274" s="71"/>
      <c r="E274" s="72"/>
      <c r="F274" s="72"/>
      <c r="G274" s="72"/>
    </row>
    <row r="275">
      <c r="A275" s="71"/>
      <c r="E275" s="72"/>
      <c r="F275" s="72"/>
      <c r="G275" s="72"/>
    </row>
    <row r="276">
      <c r="A276" s="71"/>
      <c r="E276" s="72"/>
      <c r="F276" s="72"/>
      <c r="G276" s="72"/>
    </row>
    <row r="277">
      <c r="A277" s="71"/>
      <c r="E277" s="72"/>
      <c r="F277" s="72"/>
      <c r="G277" s="72"/>
    </row>
    <row r="278">
      <c r="A278" s="71"/>
      <c r="E278" s="72"/>
      <c r="F278" s="72"/>
      <c r="G278" s="72"/>
    </row>
    <row r="279">
      <c r="A279" s="71"/>
      <c r="E279" s="72"/>
      <c r="F279" s="72"/>
      <c r="G279" s="72"/>
    </row>
    <row r="280">
      <c r="A280" s="71"/>
      <c r="E280" s="72"/>
      <c r="F280" s="72"/>
      <c r="G280" s="72"/>
    </row>
    <row r="281">
      <c r="A281" s="71"/>
      <c r="E281" s="72"/>
      <c r="F281" s="72"/>
      <c r="G281" s="72"/>
    </row>
    <row r="282">
      <c r="A282" s="71"/>
      <c r="E282" s="72"/>
      <c r="F282" s="72"/>
      <c r="G282" s="72"/>
    </row>
    <row r="283">
      <c r="A283" s="71"/>
      <c r="E283" s="72"/>
      <c r="F283" s="72"/>
      <c r="G283" s="72"/>
    </row>
    <row r="284">
      <c r="A284" s="71"/>
      <c r="E284" s="72"/>
      <c r="F284" s="72"/>
      <c r="G284" s="72"/>
    </row>
    <row r="285">
      <c r="A285" s="71"/>
      <c r="E285" s="72"/>
      <c r="F285" s="72"/>
      <c r="G285" s="72"/>
    </row>
    <row r="286">
      <c r="A286" s="71"/>
      <c r="E286" s="72"/>
      <c r="F286" s="72"/>
      <c r="G286" s="72"/>
    </row>
    <row r="287">
      <c r="A287" s="71"/>
      <c r="E287" s="72"/>
      <c r="F287" s="72"/>
      <c r="G287" s="72"/>
    </row>
    <row r="288">
      <c r="A288" s="71"/>
      <c r="E288" s="72"/>
      <c r="F288" s="72"/>
      <c r="G288" s="72"/>
    </row>
    <row r="289">
      <c r="A289" s="71"/>
      <c r="E289" s="72"/>
      <c r="F289" s="72"/>
      <c r="G289" s="72"/>
    </row>
    <row r="290">
      <c r="A290" s="71"/>
      <c r="E290" s="72"/>
      <c r="F290" s="72"/>
      <c r="G290" s="72"/>
    </row>
    <row r="291">
      <c r="A291" s="71"/>
      <c r="E291" s="72"/>
      <c r="F291" s="72"/>
      <c r="G291" s="72"/>
    </row>
    <row r="292">
      <c r="A292" s="71"/>
      <c r="E292" s="72"/>
      <c r="F292" s="72"/>
      <c r="G292" s="72"/>
    </row>
    <row r="293">
      <c r="A293" s="71"/>
      <c r="E293" s="72"/>
      <c r="F293" s="72"/>
      <c r="G293" s="72"/>
    </row>
    <row r="294">
      <c r="A294" s="71"/>
      <c r="E294" s="72"/>
      <c r="F294" s="72"/>
      <c r="G294" s="72"/>
    </row>
    <row r="295">
      <c r="A295" s="71"/>
      <c r="E295" s="72"/>
      <c r="F295" s="72"/>
      <c r="G295" s="72"/>
    </row>
    <row r="296">
      <c r="A296" s="71"/>
      <c r="E296" s="72"/>
      <c r="F296" s="72"/>
      <c r="G296" s="72"/>
    </row>
    <row r="297">
      <c r="A297" s="71"/>
      <c r="E297" s="72"/>
      <c r="F297" s="72"/>
      <c r="G297" s="72"/>
    </row>
    <row r="298">
      <c r="A298" s="71"/>
      <c r="E298" s="72"/>
      <c r="F298" s="72"/>
      <c r="G298" s="72"/>
    </row>
    <row r="299">
      <c r="A299" s="71"/>
      <c r="E299" s="72"/>
      <c r="F299" s="72"/>
      <c r="G299" s="72"/>
    </row>
    <row r="300">
      <c r="A300" s="71"/>
      <c r="E300" s="72"/>
      <c r="F300" s="72"/>
      <c r="G300" s="72"/>
    </row>
    <row r="301">
      <c r="A301" s="71"/>
      <c r="E301" s="72"/>
      <c r="F301" s="72"/>
      <c r="G301" s="72"/>
    </row>
    <row r="302">
      <c r="A302" s="71"/>
      <c r="E302" s="72"/>
      <c r="F302" s="72"/>
      <c r="G302" s="72"/>
    </row>
    <row r="303">
      <c r="A303" s="71"/>
      <c r="E303" s="72"/>
      <c r="F303" s="72"/>
      <c r="G303" s="72"/>
    </row>
    <row r="304">
      <c r="A304" s="71"/>
      <c r="E304" s="72"/>
      <c r="F304" s="72"/>
      <c r="G304" s="72"/>
    </row>
    <row r="305">
      <c r="A305" s="71"/>
      <c r="E305" s="72"/>
      <c r="F305" s="72"/>
      <c r="G305" s="72"/>
    </row>
    <row r="306">
      <c r="A306" s="71"/>
      <c r="E306" s="72"/>
      <c r="F306" s="72"/>
      <c r="G306" s="72"/>
    </row>
    <row r="307">
      <c r="A307" s="71"/>
      <c r="E307" s="72"/>
      <c r="F307" s="72"/>
      <c r="G307" s="72"/>
    </row>
    <row r="308">
      <c r="A308" s="71"/>
      <c r="E308" s="72"/>
      <c r="F308" s="72"/>
      <c r="G308" s="72"/>
    </row>
    <row r="309">
      <c r="A309" s="71"/>
      <c r="E309" s="72"/>
      <c r="F309" s="72"/>
      <c r="G309" s="72"/>
    </row>
    <row r="310">
      <c r="A310" s="71"/>
      <c r="E310" s="72"/>
      <c r="F310" s="72"/>
      <c r="G310" s="72"/>
    </row>
    <row r="311">
      <c r="A311" s="71"/>
      <c r="E311" s="72"/>
      <c r="F311" s="72"/>
      <c r="G311" s="72"/>
    </row>
    <row r="312">
      <c r="A312" s="71"/>
      <c r="E312" s="72"/>
      <c r="F312" s="72"/>
      <c r="G312" s="72"/>
    </row>
    <row r="313">
      <c r="A313" s="71"/>
      <c r="E313" s="72"/>
      <c r="F313" s="72"/>
      <c r="G313" s="72"/>
    </row>
    <row r="314">
      <c r="A314" s="71"/>
      <c r="E314" s="72"/>
      <c r="F314" s="72"/>
      <c r="G314" s="72"/>
    </row>
    <row r="315">
      <c r="A315" s="71"/>
      <c r="E315" s="72"/>
      <c r="F315" s="72"/>
      <c r="G315" s="72"/>
    </row>
    <row r="316">
      <c r="A316" s="71"/>
      <c r="E316" s="72"/>
      <c r="F316" s="72"/>
      <c r="G316" s="72"/>
    </row>
    <row r="317">
      <c r="A317" s="71"/>
      <c r="E317" s="72"/>
      <c r="F317" s="72"/>
      <c r="G317" s="72"/>
    </row>
    <row r="318">
      <c r="A318" s="71"/>
      <c r="E318" s="72"/>
      <c r="F318" s="72"/>
      <c r="G318" s="72"/>
    </row>
    <row r="319">
      <c r="A319" s="71"/>
      <c r="E319" s="72"/>
      <c r="F319" s="72"/>
      <c r="G319" s="72"/>
    </row>
    <row r="320">
      <c r="A320" s="71"/>
      <c r="E320" s="72"/>
      <c r="F320" s="72"/>
      <c r="G320" s="72"/>
    </row>
    <row r="321">
      <c r="A321" s="71"/>
      <c r="E321" s="72"/>
      <c r="F321" s="72"/>
      <c r="G321" s="72"/>
    </row>
    <row r="322">
      <c r="A322" s="71"/>
      <c r="E322" s="72"/>
      <c r="F322" s="72"/>
      <c r="G322" s="72"/>
    </row>
    <row r="323">
      <c r="A323" s="71"/>
      <c r="E323" s="72"/>
      <c r="F323" s="72"/>
      <c r="G323" s="72"/>
    </row>
    <row r="324">
      <c r="A324" s="71"/>
      <c r="E324" s="72"/>
      <c r="F324" s="72"/>
      <c r="G324" s="72"/>
    </row>
    <row r="325">
      <c r="A325" s="71"/>
      <c r="E325" s="72"/>
      <c r="F325" s="72"/>
      <c r="G325" s="72"/>
    </row>
    <row r="326">
      <c r="A326" s="71"/>
      <c r="E326" s="72"/>
      <c r="F326" s="72"/>
      <c r="G326" s="72"/>
    </row>
    <row r="327">
      <c r="A327" s="71"/>
      <c r="E327" s="72"/>
      <c r="F327" s="72"/>
      <c r="G327" s="72"/>
    </row>
    <row r="328">
      <c r="A328" s="71"/>
      <c r="E328" s="72"/>
      <c r="F328" s="72"/>
      <c r="G328" s="72"/>
    </row>
    <row r="329">
      <c r="A329" s="71"/>
      <c r="E329" s="72"/>
      <c r="F329" s="72"/>
      <c r="G329" s="72"/>
    </row>
    <row r="330">
      <c r="A330" s="71"/>
      <c r="E330" s="72"/>
      <c r="F330" s="72"/>
      <c r="G330" s="72"/>
    </row>
    <row r="331">
      <c r="A331" s="71"/>
      <c r="E331" s="72"/>
      <c r="F331" s="72"/>
      <c r="G331" s="72"/>
    </row>
    <row r="332">
      <c r="A332" s="71"/>
      <c r="E332" s="72"/>
      <c r="F332" s="72"/>
      <c r="G332" s="72"/>
    </row>
    <row r="333">
      <c r="A333" s="71"/>
      <c r="E333" s="72"/>
      <c r="F333" s="72"/>
      <c r="G333" s="72"/>
    </row>
    <row r="334">
      <c r="A334" s="71"/>
      <c r="E334" s="72"/>
      <c r="F334" s="72"/>
      <c r="G334" s="72"/>
    </row>
    <row r="335">
      <c r="A335" s="71"/>
      <c r="E335" s="72"/>
      <c r="F335" s="72"/>
      <c r="G335" s="72"/>
    </row>
    <row r="336">
      <c r="A336" s="71"/>
      <c r="E336" s="72"/>
      <c r="F336" s="72"/>
      <c r="G336" s="72"/>
    </row>
    <row r="337">
      <c r="A337" s="71"/>
      <c r="E337" s="72"/>
      <c r="F337" s="72"/>
      <c r="G337" s="72"/>
    </row>
    <row r="338">
      <c r="A338" s="71"/>
      <c r="E338" s="72"/>
      <c r="F338" s="72"/>
      <c r="G338" s="72"/>
    </row>
    <row r="339">
      <c r="A339" s="71"/>
      <c r="E339" s="72"/>
      <c r="F339" s="72"/>
      <c r="G339" s="72"/>
    </row>
    <row r="340">
      <c r="A340" s="71"/>
      <c r="E340" s="72"/>
      <c r="F340" s="72"/>
      <c r="G340" s="72"/>
    </row>
    <row r="341">
      <c r="A341" s="71"/>
      <c r="E341" s="72"/>
      <c r="F341" s="72"/>
      <c r="G341" s="72"/>
    </row>
    <row r="342">
      <c r="A342" s="71"/>
      <c r="E342" s="72"/>
      <c r="F342" s="72"/>
      <c r="G342" s="72"/>
    </row>
    <row r="343">
      <c r="A343" s="71"/>
      <c r="E343" s="72"/>
      <c r="F343" s="72"/>
      <c r="G343" s="72"/>
    </row>
    <row r="344">
      <c r="A344" s="71"/>
      <c r="E344" s="72"/>
      <c r="F344" s="72"/>
      <c r="G344" s="72"/>
    </row>
    <row r="345">
      <c r="A345" s="71"/>
      <c r="E345" s="72"/>
      <c r="F345" s="72"/>
      <c r="G345" s="72"/>
    </row>
    <row r="346">
      <c r="A346" s="71"/>
      <c r="E346" s="72"/>
      <c r="F346" s="72"/>
      <c r="G346" s="72"/>
    </row>
    <row r="347">
      <c r="A347" s="71"/>
      <c r="E347" s="72"/>
      <c r="F347" s="72"/>
      <c r="G347" s="72"/>
    </row>
    <row r="348">
      <c r="A348" s="71"/>
      <c r="E348" s="72"/>
      <c r="F348" s="72"/>
      <c r="G348" s="72"/>
    </row>
    <row r="349">
      <c r="A349" s="71"/>
      <c r="E349" s="72"/>
      <c r="F349" s="72"/>
      <c r="G349" s="72"/>
    </row>
    <row r="350">
      <c r="A350" s="71"/>
      <c r="E350" s="72"/>
      <c r="F350" s="72"/>
      <c r="G350" s="72"/>
    </row>
    <row r="351">
      <c r="A351" s="71"/>
      <c r="E351" s="72"/>
      <c r="F351" s="72"/>
      <c r="G351" s="72"/>
    </row>
    <row r="352">
      <c r="A352" s="71"/>
      <c r="E352" s="72"/>
      <c r="F352" s="72"/>
      <c r="G352" s="72"/>
    </row>
    <row r="353">
      <c r="A353" s="71"/>
      <c r="E353" s="72"/>
      <c r="F353" s="72"/>
      <c r="G353" s="72"/>
    </row>
    <row r="354">
      <c r="A354" s="71"/>
      <c r="E354" s="72"/>
      <c r="F354" s="72"/>
      <c r="G354" s="72"/>
    </row>
    <row r="355">
      <c r="A355" s="71"/>
      <c r="E355" s="72"/>
      <c r="F355" s="72"/>
      <c r="G355" s="72"/>
    </row>
    <row r="356">
      <c r="A356" s="71"/>
      <c r="E356" s="72"/>
      <c r="F356" s="72"/>
      <c r="G356" s="72"/>
    </row>
    <row r="357">
      <c r="A357" s="71"/>
      <c r="E357" s="72"/>
      <c r="F357" s="72"/>
      <c r="G357" s="72"/>
    </row>
    <row r="358">
      <c r="A358" s="71"/>
      <c r="E358" s="72"/>
      <c r="F358" s="72"/>
      <c r="G358" s="72"/>
    </row>
    <row r="359">
      <c r="A359" s="71"/>
      <c r="E359" s="72"/>
      <c r="F359" s="72"/>
      <c r="G359" s="72"/>
    </row>
    <row r="360">
      <c r="A360" s="71"/>
      <c r="E360" s="72"/>
      <c r="F360" s="72"/>
      <c r="G360" s="72"/>
    </row>
    <row r="361">
      <c r="A361" s="71"/>
      <c r="E361" s="72"/>
      <c r="F361" s="72"/>
      <c r="G361" s="72"/>
    </row>
    <row r="362">
      <c r="A362" s="71"/>
      <c r="E362" s="72"/>
      <c r="F362" s="72"/>
      <c r="G362" s="72"/>
    </row>
    <row r="363">
      <c r="A363" s="71"/>
      <c r="E363" s="72"/>
      <c r="F363" s="72"/>
      <c r="G363" s="72"/>
    </row>
    <row r="364">
      <c r="A364" s="71"/>
      <c r="E364" s="72"/>
      <c r="F364" s="72"/>
      <c r="G364" s="72"/>
    </row>
    <row r="365">
      <c r="A365" s="71"/>
      <c r="E365" s="72"/>
      <c r="F365" s="72"/>
      <c r="G365" s="72"/>
    </row>
    <row r="366">
      <c r="A366" s="71"/>
      <c r="E366" s="72"/>
      <c r="F366" s="72"/>
      <c r="G366" s="72"/>
    </row>
    <row r="367">
      <c r="A367" s="71"/>
      <c r="E367" s="72"/>
      <c r="F367" s="72"/>
      <c r="G367" s="72"/>
    </row>
    <row r="368">
      <c r="A368" s="71"/>
      <c r="E368" s="72"/>
      <c r="F368" s="72"/>
      <c r="G368" s="72"/>
    </row>
    <row r="369">
      <c r="A369" s="71"/>
      <c r="E369" s="72"/>
      <c r="F369" s="72"/>
      <c r="G369" s="72"/>
    </row>
    <row r="370">
      <c r="A370" s="71"/>
      <c r="E370" s="72"/>
      <c r="F370" s="72"/>
      <c r="G370" s="72"/>
    </row>
    <row r="371">
      <c r="A371" s="71"/>
      <c r="E371" s="72"/>
      <c r="F371" s="72"/>
      <c r="G371" s="72"/>
    </row>
    <row r="372">
      <c r="A372" s="71"/>
      <c r="E372" s="72"/>
      <c r="F372" s="72"/>
      <c r="G372" s="72"/>
    </row>
    <row r="373">
      <c r="A373" s="71"/>
      <c r="E373" s="72"/>
      <c r="F373" s="72"/>
      <c r="G373" s="72"/>
    </row>
    <row r="374">
      <c r="A374" s="71"/>
      <c r="E374" s="72"/>
      <c r="F374" s="72"/>
      <c r="G374" s="72"/>
    </row>
    <row r="375">
      <c r="A375" s="71"/>
      <c r="E375" s="72"/>
      <c r="F375" s="72"/>
      <c r="G375" s="72"/>
    </row>
    <row r="376">
      <c r="A376" s="71"/>
      <c r="E376" s="72"/>
      <c r="F376" s="72"/>
      <c r="G376" s="72"/>
    </row>
    <row r="377">
      <c r="A377" s="71"/>
      <c r="E377" s="72"/>
      <c r="F377" s="72"/>
      <c r="G377" s="72"/>
    </row>
    <row r="378">
      <c r="A378" s="71"/>
      <c r="E378" s="72"/>
      <c r="F378" s="72"/>
      <c r="G378" s="72"/>
    </row>
    <row r="379">
      <c r="A379" s="71"/>
      <c r="E379" s="72"/>
      <c r="F379" s="72"/>
      <c r="G379" s="72"/>
    </row>
    <row r="380">
      <c r="A380" s="71"/>
      <c r="E380" s="72"/>
      <c r="F380" s="72"/>
      <c r="G380" s="72"/>
    </row>
    <row r="381">
      <c r="A381" s="71"/>
      <c r="E381" s="72"/>
      <c r="F381" s="72"/>
      <c r="G381" s="72"/>
    </row>
    <row r="382">
      <c r="A382" s="71"/>
      <c r="E382" s="72"/>
      <c r="F382" s="72"/>
      <c r="G382" s="72"/>
    </row>
    <row r="383">
      <c r="A383" s="71"/>
      <c r="E383" s="72"/>
      <c r="F383" s="72"/>
      <c r="G383" s="72"/>
    </row>
    <row r="384">
      <c r="A384" s="71"/>
      <c r="E384" s="72"/>
      <c r="F384" s="72"/>
      <c r="G384" s="72"/>
    </row>
    <row r="385">
      <c r="A385" s="71"/>
      <c r="E385" s="72"/>
      <c r="F385" s="72"/>
      <c r="G385" s="72"/>
    </row>
    <row r="386">
      <c r="A386" s="71"/>
      <c r="E386" s="72"/>
      <c r="F386" s="72"/>
      <c r="G386" s="72"/>
    </row>
    <row r="387">
      <c r="A387" s="71"/>
      <c r="E387" s="72"/>
      <c r="F387" s="72"/>
      <c r="G387" s="72"/>
    </row>
    <row r="388">
      <c r="A388" s="71"/>
      <c r="E388" s="72"/>
      <c r="F388" s="72"/>
      <c r="G388" s="72"/>
    </row>
    <row r="389">
      <c r="A389" s="71"/>
      <c r="E389" s="72"/>
      <c r="F389" s="72"/>
      <c r="G389" s="72"/>
    </row>
    <row r="390">
      <c r="A390" s="71"/>
      <c r="E390" s="72"/>
      <c r="F390" s="72"/>
      <c r="G390" s="72"/>
    </row>
    <row r="391">
      <c r="A391" s="71"/>
      <c r="E391" s="72"/>
      <c r="F391" s="72"/>
      <c r="G391" s="72"/>
    </row>
    <row r="392">
      <c r="A392" s="71"/>
      <c r="E392" s="72"/>
      <c r="F392" s="72"/>
      <c r="G392" s="72"/>
    </row>
    <row r="393">
      <c r="A393" s="71"/>
      <c r="E393" s="72"/>
      <c r="F393" s="72"/>
      <c r="G393" s="72"/>
    </row>
    <row r="394">
      <c r="A394" s="71"/>
      <c r="E394" s="72"/>
      <c r="F394" s="72"/>
      <c r="G394" s="72"/>
    </row>
    <row r="395">
      <c r="A395" s="71"/>
      <c r="E395" s="72"/>
      <c r="F395" s="72"/>
      <c r="G395" s="72"/>
    </row>
    <row r="396">
      <c r="A396" s="71"/>
      <c r="E396" s="72"/>
      <c r="F396" s="72"/>
      <c r="G396" s="72"/>
    </row>
    <row r="397">
      <c r="A397" s="71"/>
      <c r="E397" s="72"/>
      <c r="F397" s="72"/>
      <c r="G397" s="72"/>
    </row>
    <row r="398">
      <c r="A398" s="71"/>
      <c r="E398" s="72"/>
      <c r="F398" s="72"/>
      <c r="G398" s="72"/>
    </row>
    <row r="399">
      <c r="A399" s="71"/>
      <c r="E399" s="72"/>
      <c r="F399" s="72"/>
      <c r="G399" s="72"/>
    </row>
    <row r="400">
      <c r="A400" s="71"/>
      <c r="E400" s="72"/>
      <c r="F400" s="72"/>
      <c r="G400" s="72"/>
    </row>
    <row r="401">
      <c r="A401" s="71"/>
      <c r="E401" s="72"/>
      <c r="F401" s="72"/>
      <c r="G401" s="72"/>
    </row>
    <row r="402">
      <c r="A402" s="71"/>
      <c r="E402" s="72"/>
      <c r="F402" s="72"/>
      <c r="G402" s="72"/>
    </row>
    <row r="403">
      <c r="A403" s="71"/>
      <c r="E403" s="72"/>
      <c r="F403" s="72"/>
      <c r="G403" s="72"/>
    </row>
    <row r="404">
      <c r="A404" s="71"/>
      <c r="E404" s="72"/>
      <c r="F404" s="72"/>
      <c r="G404" s="72"/>
    </row>
    <row r="405">
      <c r="A405" s="71"/>
      <c r="E405" s="72"/>
      <c r="F405" s="72"/>
      <c r="G405" s="72"/>
    </row>
    <row r="406">
      <c r="A406" s="71"/>
      <c r="E406" s="72"/>
      <c r="F406" s="72"/>
      <c r="G406" s="72"/>
    </row>
    <row r="407">
      <c r="A407" s="71"/>
      <c r="E407" s="72"/>
      <c r="F407" s="72"/>
      <c r="G407" s="72"/>
    </row>
    <row r="408">
      <c r="A408" s="71"/>
      <c r="E408" s="72"/>
      <c r="F408" s="72"/>
      <c r="G408" s="72"/>
    </row>
    <row r="409">
      <c r="A409" s="71"/>
      <c r="E409" s="72"/>
      <c r="F409" s="72"/>
      <c r="G409" s="72"/>
    </row>
    <row r="410">
      <c r="A410" s="71"/>
      <c r="E410" s="72"/>
      <c r="F410" s="72"/>
      <c r="G410" s="72"/>
    </row>
    <row r="411">
      <c r="A411" s="71"/>
      <c r="E411" s="72"/>
      <c r="F411" s="72"/>
      <c r="G411" s="72"/>
    </row>
    <row r="412">
      <c r="A412" s="71"/>
      <c r="E412" s="72"/>
      <c r="F412" s="72"/>
      <c r="G412" s="72"/>
    </row>
    <row r="413">
      <c r="A413" s="71"/>
      <c r="E413" s="72"/>
      <c r="F413" s="72"/>
      <c r="G413" s="72"/>
    </row>
    <row r="414">
      <c r="A414" s="71"/>
      <c r="E414" s="72"/>
      <c r="F414" s="72"/>
      <c r="G414" s="72"/>
    </row>
    <row r="415">
      <c r="A415" s="71"/>
      <c r="E415" s="72"/>
      <c r="F415" s="72"/>
      <c r="G415" s="72"/>
    </row>
    <row r="416">
      <c r="A416" s="71"/>
      <c r="E416" s="72"/>
      <c r="F416" s="72"/>
      <c r="G416" s="72"/>
    </row>
    <row r="417">
      <c r="A417" s="71"/>
      <c r="E417" s="72"/>
      <c r="F417" s="72"/>
      <c r="G417" s="72"/>
    </row>
    <row r="418">
      <c r="A418" s="71"/>
      <c r="E418" s="72"/>
      <c r="F418" s="72"/>
      <c r="G418" s="72"/>
    </row>
    <row r="419">
      <c r="A419" s="71"/>
      <c r="E419" s="72"/>
      <c r="F419" s="72"/>
      <c r="G419" s="72"/>
    </row>
    <row r="420">
      <c r="A420" s="71"/>
      <c r="E420" s="72"/>
      <c r="F420" s="72"/>
      <c r="G420" s="72"/>
    </row>
    <row r="421">
      <c r="A421" s="71"/>
      <c r="E421" s="72"/>
      <c r="F421" s="72"/>
      <c r="G421" s="72"/>
    </row>
    <row r="422">
      <c r="A422" s="71"/>
      <c r="E422" s="72"/>
      <c r="F422" s="72"/>
      <c r="G422" s="72"/>
    </row>
    <row r="423">
      <c r="A423" s="71"/>
      <c r="E423" s="72"/>
      <c r="F423" s="72"/>
      <c r="G423" s="72"/>
    </row>
    <row r="424">
      <c r="A424" s="71"/>
      <c r="E424" s="72"/>
      <c r="F424" s="72"/>
      <c r="G424" s="72"/>
    </row>
    <row r="425">
      <c r="A425" s="71"/>
      <c r="E425" s="72"/>
      <c r="F425" s="72"/>
      <c r="G425" s="72"/>
    </row>
    <row r="426">
      <c r="A426" s="71"/>
      <c r="E426" s="72"/>
      <c r="F426" s="72"/>
      <c r="G426" s="72"/>
    </row>
    <row r="427">
      <c r="A427" s="71"/>
      <c r="E427" s="72"/>
      <c r="F427" s="72"/>
      <c r="G427" s="72"/>
    </row>
    <row r="428">
      <c r="A428" s="71"/>
      <c r="E428" s="72"/>
      <c r="F428" s="72"/>
      <c r="G428" s="72"/>
    </row>
    <row r="429">
      <c r="A429" s="71"/>
      <c r="E429" s="72"/>
      <c r="F429" s="72"/>
      <c r="G429" s="72"/>
    </row>
    <row r="430">
      <c r="A430" s="71"/>
      <c r="E430" s="72"/>
      <c r="F430" s="72"/>
      <c r="G430" s="72"/>
    </row>
    <row r="431">
      <c r="A431" s="71"/>
      <c r="E431" s="72"/>
      <c r="F431" s="72"/>
      <c r="G431" s="72"/>
    </row>
    <row r="432">
      <c r="A432" s="71"/>
      <c r="E432" s="72"/>
      <c r="F432" s="72"/>
      <c r="G432" s="72"/>
    </row>
    <row r="433">
      <c r="A433" s="71"/>
      <c r="E433" s="72"/>
      <c r="F433" s="72"/>
      <c r="G433" s="72"/>
    </row>
    <row r="434">
      <c r="A434" s="71"/>
      <c r="E434" s="72"/>
      <c r="F434" s="72"/>
      <c r="G434" s="72"/>
    </row>
    <row r="435">
      <c r="A435" s="71"/>
      <c r="E435" s="72"/>
      <c r="F435" s="72"/>
      <c r="G435" s="72"/>
    </row>
    <row r="436">
      <c r="A436" s="71"/>
      <c r="E436" s="72"/>
      <c r="F436" s="72"/>
      <c r="G436" s="72"/>
    </row>
    <row r="437">
      <c r="A437" s="71"/>
      <c r="E437" s="72"/>
      <c r="F437" s="72"/>
      <c r="G437" s="72"/>
    </row>
    <row r="438">
      <c r="A438" s="71"/>
      <c r="E438" s="72"/>
      <c r="F438" s="72"/>
      <c r="G438" s="72"/>
    </row>
    <row r="439">
      <c r="A439" s="71"/>
      <c r="E439" s="72"/>
      <c r="F439" s="72"/>
      <c r="G439" s="72"/>
    </row>
    <row r="440">
      <c r="A440" s="71"/>
      <c r="E440" s="72"/>
      <c r="F440" s="72"/>
      <c r="G440" s="72"/>
    </row>
    <row r="441">
      <c r="A441" s="71"/>
      <c r="E441" s="72"/>
      <c r="F441" s="72"/>
      <c r="G441" s="72"/>
    </row>
    <row r="442">
      <c r="A442" s="71"/>
      <c r="E442" s="72"/>
      <c r="F442" s="72"/>
      <c r="G442" s="72"/>
    </row>
    <row r="443">
      <c r="A443" s="71"/>
      <c r="E443" s="72"/>
      <c r="F443" s="72"/>
      <c r="G443" s="72"/>
    </row>
    <row r="444">
      <c r="A444" s="71"/>
      <c r="E444" s="72"/>
      <c r="F444" s="72"/>
      <c r="G444" s="72"/>
    </row>
    <row r="445">
      <c r="A445" s="71"/>
      <c r="E445" s="72"/>
      <c r="F445" s="72"/>
      <c r="G445" s="72"/>
    </row>
    <row r="446">
      <c r="A446" s="71"/>
      <c r="E446" s="72"/>
      <c r="F446" s="72"/>
      <c r="G446" s="72"/>
    </row>
    <row r="447">
      <c r="A447" s="71"/>
      <c r="E447" s="72"/>
      <c r="F447" s="72"/>
      <c r="G447" s="72"/>
    </row>
    <row r="448">
      <c r="A448" s="71"/>
      <c r="E448" s="72"/>
      <c r="F448" s="72"/>
      <c r="G448" s="72"/>
    </row>
    <row r="449">
      <c r="A449" s="71"/>
      <c r="E449" s="72"/>
      <c r="F449" s="72"/>
      <c r="G449" s="72"/>
    </row>
    <row r="450">
      <c r="A450" s="71"/>
      <c r="E450" s="72"/>
      <c r="F450" s="72"/>
      <c r="G450" s="72"/>
    </row>
    <row r="451">
      <c r="A451" s="71"/>
      <c r="E451" s="72"/>
      <c r="F451" s="72"/>
      <c r="G451" s="72"/>
    </row>
    <row r="452">
      <c r="A452" s="71"/>
      <c r="E452" s="72"/>
      <c r="F452" s="72"/>
      <c r="G452" s="72"/>
    </row>
    <row r="453">
      <c r="A453" s="71"/>
      <c r="E453" s="72"/>
      <c r="F453" s="72"/>
      <c r="G453" s="72"/>
    </row>
    <row r="454">
      <c r="A454" s="71"/>
      <c r="E454" s="72"/>
      <c r="F454" s="72"/>
      <c r="G454" s="72"/>
    </row>
    <row r="455">
      <c r="A455" s="71"/>
      <c r="E455" s="72"/>
      <c r="F455" s="72"/>
      <c r="G455" s="72"/>
    </row>
    <row r="456">
      <c r="A456" s="71"/>
      <c r="E456" s="72"/>
      <c r="F456" s="72"/>
      <c r="G456" s="72"/>
    </row>
    <row r="457">
      <c r="A457" s="71"/>
      <c r="E457" s="72"/>
      <c r="F457" s="72"/>
      <c r="G457" s="72"/>
    </row>
    <row r="458">
      <c r="A458" s="71"/>
      <c r="E458" s="72"/>
      <c r="F458" s="72"/>
      <c r="G458" s="72"/>
    </row>
    <row r="459">
      <c r="A459" s="71"/>
      <c r="E459" s="72"/>
      <c r="F459" s="72"/>
      <c r="G459" s="72"/>
    </row>
    <row r="460">
      <c r="A460" s="71"/>
      <c r="E460" s="72"/>
      <c r="F460" s="72"/>
      <c r="G460" s="72"/>
    </row>
    <row r="461">
      <c r="A461" s="71"/>
      <c r="E461" s="72"/>
      <c r="F461" s="72"/>
      <c r="G461" s="72"/>
    </row>
    <row r="462">
      <c r="A462" s="71"/>
      <c r="E462" s="72"/>
      <c r="F462" s="72"/>
      <c r="G462" s="72"/>
    </row>
    <row r="463">
      <c r="A463" s="71"/>
      <c r="E463" s="72"/>
      <c r="F463" s="72"/>
      <c r="G463" s="72"/>
    </row>
    <row r="464">
      <c r="A464" s="71"/>
      <c r="E464" s="72"/>
      <c r="F464" s="72"/>
      <c r="G464" s="72"/>
    </row>
    <row r="465">
      <c r="A465" s="71"/>
      <c r="E465" s="72"/>
      <c r="F465" s="72"/>
      <c r="G465" s="72"/>
    </row>
    <row r="466">
      <c r="A466" s="71"/>
      <c r="E466" s="72"/>
      <c r="F466" s="72"/>
      <c r="G466" s="72"/>
    </row>
    <row r="467">
      <c r="A467" s="71"/>
      <c r="E467" s="72"/>
      <c r="F467" s="72"/>
      <c r="G467" s="72"/>
    </row>
    <row r="468">
      <c r="A468" s="71"/>
      <c r="E468" s="72"/>
      <c r="F468" s="72"/>
      <c r="G468" s="72"/>
    </row>
    <row r="469">
      <c r="A469" s="71"/>
      <c r="E469" s="72"/>
      <c r="F469" s="72"/>
      <c r="G469" s="72"/>
    </row>
    <row r="470">
      <c r="A470" s="71"/>
      <c r="E470" s="72"/>
      <c r="F470" s="72"/>
      <c r="G470" s="72"/>
    </row>
    <row r="471">
      <c r="A471" s="71"/>
      <c r="E471" s="72"/>
      <c r="F471" s="72"/>
      <c r="G471" s="72"/>
    </row>
    <row r="472">
      <c r="A472" s="71"/>
      <c r="E472" s="72"/>
      <c r="F472" s="72"/>
      <c r="G472" s="72"/>
    </row>
    <row r="473">
      <c r="A473" s="71"/>
      <c r="E473" s="72"/>
      <c r="F473" s="72"/>
      <c r="G473" s="72"/>
    </row>
    <row r="474">
      <c r="A474" s="71"/>
      <c r="E474" s="72"/>
      <c r="F474" s="72"/>
      <c r="G474" s="72"/>
    </row>
    <row r="475">
      <c r="A475" s="71"/>
      <c r="E475" s="72"/>
      <c r="F475" s="72"/>
      <c r="G475" s="72"/>
    </row>
    <row r="476">
      <c r="A476" s="71"/>
      <c r="E476" s="72"/>
      <c r="F476" s="72"/>
      <c r="G476" s="72"/>
    </row>
    <row r="477">
      <c r="A477" s="71"/>
      <c r="E477" s="72"/>
      <c r="F477" s="72"/>
      <c r="G477" s="72"/>
    </row>
    <row r="478">
      <c r="A478" s="71"/>
      <c r="E478" s="72"/>
      <c r="F478" s="72"/>
      <c r="G478" s="72"/>
    </row>
    <row r="479">
      <c r="A479" s="71"/>
      <c r="E479" s="72"/>
      <c r="F479" s="72"/>
      <c r="G479" s="72"/>
    </row>
    <row r="480">
      <c r="A480" s="71"/>
      <c r="E480" s="72"/>
      <c r="F480" s="72"/>
      <c r="G480" s="72"/>
    </row>
    <row r="481">
      <c r="A481" s="71"/>
      <c r="E481" s="72"/>
      <c r="F481" s="72"/>
      <c r="G481" s="72"/>
    </row>
    <row r="482">
      <c r="A482" s="71"/>
      <c r="E482" s="72"/>
      <c r="F482" s="72"/>
      <c r="G482" s="72"/>
    </row>
    <row r="483">
      <c r="A483" s="71"/>
      <c r="E483" s="72"/>
      <c r="F483" s="72"/>
      <c r="G483" s="72"/>
    </row>
    <row r="484">
      <c r="A484" s="71"/>
      <c r="E484" s="72"/>
      <c r="F484" s="72"/>
      <c r="G484" s="72"/>
    </row>
    <row r="485">
      <c r="A485" s="71"/>
      <c r="E485" s="72"/>
      <c r="F485" s="72"/>
      <c r="G485" s="72"/>
    </row>
    <row r="486">
      <c r="A486" s="71"/>
      <c r="E486" s="72"/>
      <c r="F486" s="72"/>
      <c r="G486" s="72"/>
    </row>
    <row r="487">
      <c r="A487" s="71"/>
      <c r="E487" s="72"/>
      <c r="F487" s="72"/>
      <c r="G487" s="72"/>
    </row>
    <row r="488">
      <c r="A488" s="71"/>
      <c r="E488" s="72"/>
      <c r="F488" s="72"/>
      <c r="G488" s="72"/>
    </row>
    <row r="489">
      <c r="A489" s="71"/>
      <c r="E489" s="72"/>
      <c r="F489" s="72"/>
      <c r="G489" s="72"/>
    </row>
    <row r="490">
      <c r="A490" s="71"/>
      <c r="E490" s="72"/>
      <c r="F490" s="72"/>
      <c r="G490" s="72"/>
    </row>
    <row r="491">
      <c r="A491" s="71"/>
      <c r="E491" s="72"/>
      <c r="F491" s="72"/>
      <c r="G491" s="72"/>
    </row>
    <row r="492">
      <c r="A492" s="71"/>
      <c r="E492" s="72"/>
      <c r="F492" s="72"/>
      <c r="G492" s="72"/>
    </row>
    <row r="493">
      <c r="A493" s="71"/>
      <c r="E493" s="72"/>
      <c r="F493" s="72"/>
      <c r="G493" s="72"/>
    </row>
    <row r="494">
      <c r="A494" s="71"/>
      <c r="E494" s="72"/>
      <c r="F494" s="72"/>
      <c r="G494" s="72"/>
    </row>
    <row r="495">
      <c r="A495" s="71"/>
      <c r="E495" s="72"/>
      <c r="F495" s="72"/>
      <c r="G495" s="72"/>
    </row>
    <row r="496">
      <c r="A496" s="71"/>
      <c r="E496" s="72"/>
      <c r="F496" s="72"/>
      <c r="G496" s="72"/>
    </row>
    <row r="497">
      <c r="A497" s="71"/>
      <c r="E497" s="72"/>
      <c r="F497" s="72"/>
      <c r="G497" s="72"/>
    </row>
    <row r="498">
      <c r="A498" s="71"/>
      <c r="E498" s="72"/>
      <c r="F498" s="72"/>
      <c r="G498" s="72"/>
    </row>
    <row r="499">
      <c r="A499" s="71"/>
      <c r="E499" s="72"/>
      <c r="F499" s="72"/>
      <c r="G499" s="72"/>
    </row>
    <row r="500">
      <c r="A500" s="71"/>
      <c r="E500" s="72"/>
      <c r="F500" s="72"/>
      <c r="G500" s="72"/>
    </row>
    <row r="501">
      <c r="A501" s="71"/>
      <c r="E501" s="72"/>
      <c r="F501" s="72"/>
      <c r="G501" s="72"/>
    </row>
    <row r="502">
      <c r="A502" s="71"/>
      <c r="E502" s="72"/>
      <c r="F502" s="72"/>
      <c r="G502" s="72"/>
    </row>
    <row r="503">
      <c r="A503" s="71"/>
      <c r="E503" s="72"/>
      <c r="F503" s="72"/>
      <c r="G503" s="72"/>
    </row>
    <row r="504">
      <c r="A504" s="71"/>
      <c r="E504" s="72"/>
      <c r="F504" s="72"/>
      <c r="G504" s="72"/>
    </row>
    <row r="505">
      <c r="A505" s="71"/>
      <c r="E505" s="72"/>
      <c r="F505" s="72"/>
      <c r="G505" s="72"/>
    </row>
    <row r="506">
      <c r="A506" s="71"/>
      <c r="E506" s="72"/>
      <c r="F506" s="72"/>
      <c r="G506" s="72"/>
    </row>
    <row r="507">
      <c r="A507" s="71"/>
      <c r="E507" s="72"/>
      <c r="F507" s="72"/>
      <c r="G507" s="72"/>
    </row>
    <row r="508">
      <c r="A508" s="71"/>
      <c r="E508" s="72"/>
      <c r="F508" s="72"/>
      <c r="G508" s="72"/>
    </row>
    <row r="509">
      <c r="A509" s="71"/>
      <c r="E509" s="72"/>
      <c r="F509" s="72"/>
      <c r="G509" s="72"/>
    </row>
    <row r="510">
      <c r="A510" s="71"/>
      <c r="E510" s="72"/>
      <c r="F510" s="72"/>
      <c r="G510" s="72"/>
    </row>
    <row r="511">
      <c r="A511" s="71"/>
      <c r="E511" s="72"/>
      <c r="F511" s="72"/>
      <c r="G511" s="72"/>
    </row>
    <row r="512">
      <c r="A512" s="71"/>
      <c r="E512" s="72"/>
      <c r="F512" s="72"/>
      <c r="G512" s="72"/>
    </row>
    <row r="513">
      <c r="A513" s="71"/>
      <c r="E513" s="72"/>
      <c r="F513" s="72"/>
      <c r="G513" s="72"/>
    </row>
    <row r="514">
      <c r="A514" s="71"/>
      <c r="E514" s="72"/>
      <c r="F514" s="72"/>
      <c r="G514" s="72"/>
    </row>
    <row r="515">
      <c r="A515" s="71"/>
      <c r="E515" s="72"/>
      <c r="F515" s="72"/>
      <c r="G515" s="72"/>
    </row>
    <row r="516">
      <c r="A516" s="71"/>
      <c r="E516" s="72"/>
      <c r="F516" s="72"/>
      <c r="G516" s="72"/>
    </row>
    <row r="517">
      <c r="A517" s="71"/>
      <c r="E517" s="72"/>
      <c r="F517" s="72"/>
      <c r="G517" s="72"/>
    </row>
    <row r="518">
      <c r="A518" s="71"/>
      <c r="E518" s="72"/>
      <c r="F518" s="72"/>
      <c r="G518" s="72"/>
    </row>
    <row r="519">
      <c r="A519" s="71"/>
      <c r="E519" s="72"/>
      <c r="F519" s="72"/>
      <c r="G519" s="72"/>
    </row>
    <row r="520">
      <c r="A520" s="71"/>
      <c r="E520" s="72"/>
      <c r="F520" s="72"/>
      <c r="G520" s="72"/>
    </row>
    <row r="521">
      <c r="A521" s="71"/>
      <c r="E521" s="72"/>
      <c r="F521" s="72"/>
      <c r="G521" s="72"/>
    </row>
    <row r="522">
      <c r="A522" s="71"/>
      <c r="E522" s="72"/>
      <c r="F522" s="72"/>
      <c r="G522" s="72"/>
    </row>
    <row r="523">
      <c r="A523" s="71"/>
      <c r="E523" s="72"/>
      <c r="F523" s="72"/>
      <c r="G523" s="72"/>
    </row>
    <row r="524">
      <c r="A524" s="71"/>
      <c r="E524" s="72"/>
      <c r="F524" s="72"/>
      <c r="G524" s="72"/>
    </row>
    <row r="525">
      <c r="A525" s="71"/>
      <c r="E525" s="72"/>
      <c r="F525" s="72"/>
      <c r="G525" s="72"/>
    </row>
    <row r="526">
      <c r="A526" s="71"/>
      <c r="E526" s="72"/>
      <c r="F526" s="72"/>
      <c r="G526" s="72"/>
    </row>
    <row r="527">
      <c r="A527" s="71"/>
      <c r="E527" s="72"/>
      <c r="F527" s="72"/>
      <c r="G527" s="72"/>
    </row>
    <row r="528">
      <c r="A528" s="71"/>
      <c r="E528" s="72"/>
      <c r="F528" s="72"/>
      <c r="G528" s="72"/>
    </row>
    <row r="529">
      <c r="A529" s="71"/>
      <c r="E529" s="72"/>
      <c r="F529" s="72"/>
      <c r="G529" s="72"/>
    </row>
    <row r="530">
      <c r="A530" s="71"/>
      <c r="E530" s="72"/>
      <c r="F530" s="72"/>
      <c r="G530" s="72"/>
    </row>
    <row r="531">
      <c r="A531" s="71"/>
      <c r="E531" s="72"/>
      <c r="F531" s="72"/>
      <c r="G531" s="72"/>
    </row>
    <row r="532">
      <c r="A532" s="71"/>
      <c r="E532" s="72"/>
      <c r="F532" s="72"/>
      <c r="G532" s="72"/>
    </row>
    <row r="533">
      <c r="A533" s="71"/>
      <c r="E533" s="72"/>
      <c r="F533" s="72"/>
      <c r="G533" s="72"/>
    </row>
    <row r="534">
      <c r="A534" s="71"/>
      <c r="E534" s="72"/>
      <c r="F534" s="72"/>
      <c r="G534" s="72"/>
    </row>
    <row r="535">
      <c r="A535" s="71"/>
      <c r="E535" s="72"/>
      <c r="F535" s="72"/>
      <c r="G535" s="72"/>
    </row>
    <row r="536">
      <c r="A536" s="71"/>
      <c r="E536" s="72"/>
      <c r="F536" s="72"/>
      <c r="G536" s="72"/>
    </row>
    <row r="537">
      <c r="A537" s="71"/>
      <c r="E537" s="72"/>
      <c r="F537" s="72"/>
      <c r="G537" s="72"/>
    </row>
    <row r="538">
      <c r="A538" s="71"/>
      <c r="E538" s="72"/>
      <c r="F538" s="72"/>
      <c r="G538" s="72"/>
    </row>
    <row r="539">
      <c r="A539" s="71"/>
      <c r="E539" s="72"/>
      <c r="F539" s="72"/>
      <c r="G539" s="72"/>
    </row>
    <row r="540">
      <c r="A540" s="71"/>
      <c r="E540" s="72"/>
      <c r="F540" s="72"/>
      <c r="G540" s="72"/>
    </row>
    <row r="541">
      <c r="A541" s="71"/>
      <c r="E541" s="72"/>
      <c r="F541" s="72"/>
      <c r="G541" s="72"/>
    </row>
    <row r="542">
      <c r="A542" s="71"/>
      <c r="E542" s="72"/>
      <c r="F542" s="72"/>
      <c r="G542" s="72"/>
    </row>
    <row r="543">
      <c r="A543" s="71"/>
      <c r="E543" s="72"/>
      <c r="F543" s="72"/>
      <c r="G543" s="72"/>
    </row>
    <row r="544">
      <c r="A544" s="71"/>
      <c r="E544" s="72"/>
      <c r="F544" s="72"/>
      <c r="G544" s="72"/>
    </row>
    <row r="545">
      <c r="A545" s="71"/>
      <c r="E545" s="72"/>
      <c r="F545" s="72"/>
      <c r="G545" s="72"/>
    </row>
    <row r="546">
      <c r="A546" s="71"/>
      <c r="E546" s="72"/>
      <c r="F546" s="72"/>
      <c r="G546" s="72"/>
    </row>
    <row r="547">
      <c r="A547" s="71"/>
      <c r="E547" s="72"/>
      <c r="F547" s="72"/>
      <c r="G547" s="72"/>
    </row>
    <row r="548">
      <c r="A548" s="71"/>
      <c r="E548" s="72"/>
      <c r="F548" s="72"/>
      <c r="G548" s="72"/>
    </row>
    <row r="549">
      <c r="A549" s="71"/>
      <c r="E549" s="72"/>
      <c r="F549" s="72"/>
      <c r="G549" s="72"/>
    </row>
    <row r="550">
      <c r="A550" s="71"/>
      <c r="E550" s="72"/>
      <c r="F550" s="72"/>
      <c r="G550" s="72"/>
    </row>
    <row r="551">
      <c r="A551" s="71"/>
      <c r="E551" s="72"/>
      <c r="F551" s="72"/>
      <c r="G551" s="72"/>
    </row>
    <row r="552">
      <c r="A552" s="71"/>
      <c r="E552" s="72"/>
      <c r="F552" s="72"/>
      <c r="G552" s="72"/>
    </row>
    <row r="553">
      <c r="A553" s="71"/>
      <c r="E553" s="72"/>
      <c r="F553" s="72"/>
      <c r="G553" s="72"/>
    </row>
    <row r="554">
      <c r="A554" s="71"/>
      <c r="E554" s="72"/>
      <c r="F554" s="72"/>
      <c r="G554" s="72"/>
    </row>
    <row r="555">
      <c r="A555" s="71"/>
      <c r="E555" s="72"/>
      <c r="F555" s="72"/>
      <c r="G555" s="72"/>
    </row>
    <row r="556">
      <c r="A556" s="71"/>
      <c r="E556" s="72"/>
      <c r="F556" s="72"/>
      <c r="G556" s="72"/>
    </row>
    <row r="557">
      <c r="A557" s="71"/>
      <c r="E557" s="72"/>
      <c r="F557" s="72"/>
      <c r="G557" s="72"/>
    </row>
    <row r="558">
      <c r="A558" s="71"/>
      <c r="E558" s="72"/>
      <c r="F558" s="72"/>
      <c r="G558" s="72"/>
    </row>
    <row r="559">
      <c r="A559" s="71"/>
      <c r="E559" s="72"/>
      <c r="F559" s="72"/>
      <c r="G559" s="72"/>
    </row>
    <row r="560">
      <c r="A560" s="71"/>
      <c r="E560" s="72"/>
      <c r="F560" s="72"/>
      <c r="G560" s="72"/>
    </row>
    <row r="561">
      <c r="A561" s="71"/>
      <c r="E561" s="72"/>
      <c r="F561" s="72"/>
      <c r="G561" s="72"/>
    </row>
    <row r="562">
      <c r="A562" s="71"/>
      <c r="E562" s="72"/>
      <c r="F562" s="72"/>
      <c r="G562" s="72"/>
    </row>
    <row r="563">
      <c r="A563" s="71"/>
      <c r="E563" s="72"/>
      <c r="F563" s="72"/>
      <c r="G563" s="72"/>
    </row>
    <row r="564">
      <c r="A564" s="71"/>
      <c r="E564" s="72"/>
      <c r="F564" s="72"/>
      <c r="G564" s="72"/>
    </row>
    <row r="565">
      <c r="A565" s="71"/>
      <c r="E565" s="72"/>
      <c r="F565" s="72"/>
      <c r="G565" s="72"/>
    </row>
    <row r="566">
      <c r="A566" s="71"/>
      <c r="E566" s="72"/>
      <c r="F566" s="72"/>
      <c r="G566" s="72"/>
    </row>
    <row r="567">
      <c r="A567" s="71"/>
      <c r="E567" s="72"/>
      <c r="F567" s="72"/>
      <c r="G567" s="72"/>
    </row>
    <row r="568">
      <c r="A568" s="71"/>
      <c r="E568" s="72"/>
      <c r="F568" s="72"/>
      <c r="G568" s="72"/>
    </row>
    <row r="569">
      <c r="A569" s="71"/>
      <c r="E569" s="72"/>
      <c r="F569" s="72"/>
      <c r="G569" s="72"/>
    </row>
    <row r="570">
      <c r="A570" s="71"/>
      <c r="E570" s="72"/>
      <c r="F570" s="72"/>
      <c r="G570" s="72"/>
    </row>
    <row r="571">
      <c r="A571" s="71"/>
      <c r="E571" s="72"/>
      <c r="F571" s="72"/>
      <c r="G571" s="72"/>
    </row>
    <row r="572">
      <c r="A572" s="71"/>
      <c r="E572" s="72"/>
      <c r="F572" s="72"/>
      <c r="G572" s="72"/>
    </row>
    <row r="573">
      <c r="A573" s="71"/>
      <c r="E573" s="72"/>
      <c r="F573" s="72"/>
      <c r="G573" s="72"/>
    </row>
    <row r="574">
      <c r="A574" s="71"/>
      <c r="E574" s="72"/>
      <c r="F574" s="72"/>
      <c r="G574" s="72"/>
    </row>
    <row r="575">
      <c r="A575" s="71"/>
      <c r="E575" s="72"/>
      <c r="F575" s="72"/>
      <c r="G575" s="72"/>
    </row>
    <row r="576">
      <c r="A576" s="71"/>
      <c r="E576" s="72"/>
      <c r="F576" s="72"/>
      <c r="G576" s="72"/>
    </row>
    <row r="577">
      <c r="A577" s="71"/>
      <c r="E577" s="72"/>
      <c r="F577" s="72"/>
      <c r="G577" s="72"/>
    </row>
    <row r="578">
      <c r="A578" s="71"/>
      <c r="E578" s="72"/>
      <c r="F578" s="72"/>
      <c r="G578" s="72"/>
    </row>
    <row r="579">
      <c r="A579" s="71"/>
      <c r="E579" s="72"/>
      <c r="F579" s="72"/>
      <c r="G579" s="72"/>
    </row>
    <row r="580">
      <c r="A580" s="71"/>
      <c r="E580" s="72"/>
      <c r="F580" s="72"/>
      <c r="G580" s="72"/>
    </row>
    <row r="581">
      <c r="A581" s="71"/>
      <c r="E581" s="72"/>
      <c r="F581" s="72"/>
      <c r="G581" s="72"/>
    </row>
    <row r="582">
      <c r="A582" s="71"/>
      <c r="E582" s="72"/>
      <c r="F582" s="72"/>
      <c r="G582" s="72"/>
    </row>
    <row r="583">
      <c r="A583" s="71"/>
      <c r="E583" s="72"/>
      <c r="F583" s="72"/>
      <c r="G583" s="72"/>
    </row>
    <row r="584">
      <c r="A584" s="71"/>
      <c r="E584" s="72"/>
      <c r="F584" s="72"/>
      <c r="G584" s="72"/>
    </row>
    <row r="585">
      <c r="A585" s="71"/>
      <c r="E585" s="72"/>
      <c r="F585" s="72"/>
      <c r="G585" s="72"/>
    </row>
    <row r="586">
      <c r="A586" s="71"/>
      <c r="E586" s="72"/>
      <c r="F586" s="72"/>
      <c r="G586" s="72"/>
    </row>
    <row r="587">
      <c r="A587" s="71"/>
      <c r="E587" s="72"/>
      <c r="F587" s="72"/>
      <c r="G587" s="72"/>
    </row>
    <row r="588">
      <c r="A588" s="71"/>
      <c r="E588" s="72"/>
      <c r="F588" s="72"/>
      <c r="G588" s="72"/>
    </row>
    <row r="589">
      <c r="A589" s="71"/>
      <c r="E589" s="72"/>
      <c r="F589" s="72"/>
      <c r="G589" s="72"/>
    </row>
    <row r="590">
      <c r="A590" s="71"/>
      <c r="E590" s="72"/>
      <c r="F590" s="72"/>
      <c r="G590" s="72"/>
    </row>
    <row r="591">
      <c r="A591" s="71"/>
      <c r="E591" s="72"/>
      <c r="F591" s="72"/>
      <c r="G591" s="72"/>
    </row>
    <row r="592">
      <c r="A592" s="71"/>
      <c r="E592" s="72"/>
      <c r="F592" s="72"/>
      <c r="G592" s="72"/>
    </row>
    <row r="593">
      <c r="A593" s="71"/>
      <c r="E593" s="72"/>
      <c r="F593" s="72"/>
      <c r="G593" s="72"/>
    </row>
    <row r="594">
      <c r="A594" s="71"/>
      <c r="E594" s="72"/>
      <c r="F594" s="72"/>
      <c r="G594" s="72"/>
    </row>
    <row r="595">
      <c r="A595" s="71"/>
      <c r="E595" s="72"/>
      <c r="F595" s="72"/>
      <c r="G595" s="72"/>
    </row>
    <row r="596">
      <c r="A596" s="71"/>
      <c r="E596" s="72"/>
      <c r="F596" s="72"/>
      <c r="G596" s="72"/>
    </row>
    <row r="597">
      <c r="A597" s="71"/>
      <c r="E597" s="72"/>
      <c r="F597" s="72"/>
      <c r="G597" s="72"/>
    </row>
    <row r="598">
      <c r="A598" s="71"/>
      <c r="E598" s="72"/>
      <c r="F598" s="72"/>
      <c r="G598" s="72"/>
    </row>
    <row r="599">
      <c r="A599" s="71"/>
      <c r="E599" s="72"/>
      <c r="F599" s="72"/>
      <c r="G599" s="72"/>
    </row>
    <row r="600">
      <c r="A600" s="71"/>
      <c r="E600" s="72"/>
      <c r="F600" s="72"/>
      <c r="G600" s="72"/>
    </row>
    <row r="601">
      <c r="A601" s="71"/>
      <c r="E601" s="72"/>
      <c r="F601" s="72"/>
      <c r="G601" s="72"/>
    </row>
    <row r="602">
      <c r="A602" s="71"/>
      <c r="E602" s="72"/>
      <c r="F602" s="72"/>
      <c r="G602" s="72"/>
    </row>
    <row r="603">
      <c r="A603" s="71"/>
      <c r="E603" s="72"/>
      <c r="F603" s="72"/>
      <c r="G603" s="72"/>
    </row>
    <row r="604">
      <c r="A604" s="71"/>
      <c r="E604" s="72"/>
      <c r="F604" s="72"/>
      <c r="G604" s="72"/>
    </row>
    <row r="605">
      <c r="A605" s="71"/>
      <c r="E605" s="72"/>
      <c r="F605" s="72"/>
      <c r="G605" s="72"/>
    </row>
    <row r="606">
      <c r="A606" s="71"/>
      <c r="E606" s="72"/>
      <c r="F606" s="72"/>
      <c r="G606" s="72"/>
    </row>
    <row r="607">
      <c r="A607" s="71"/>
      <c r="E607" s="72"/>
      <c r="F607" s="72"/>
      <c r="G607" s="72"/>
    </row>
    <row r="608">
      <c r="A608" s="71"/>
      <c r="E608" s="72"/>
      <c r="F608" s="72"/>
      <c r="G608" s="72"/>
    </row>
    <row r="609">
      <c r="A609" s="71"/>
      <c r="E609" s="72"/>
      <c r="F609" s="72"/>
      <c r="G609" s="72"/>
    </row>
    <row r="610">
      <c r="A610" s="71"/>
      <c r="E610" s="72"/>
      <c r="F610" s="72"/>
      <c r="G610" s="72"/>
    </row>
    <row r="611">
      <c r="A611" s="71"/>
      <c r="E611" s="72"/>
      <c r="F611" s="72"/>
      <c r="G611" s="72"/>
    </row>
    <row r="612">
      <c r="A612" s="71"/>
      <c r="E612" s="72"/>
      <c r="F612" s="72"/>
      <c r="G612" s="72"/>
    </row>
    <row r="613">
      <c r="A613" s="71"/>
      <c r="E613" s="72"/>
      <c r="F613" s="72"/>
      <c r="G613" s="72"/>
    </row>
    <row r="614">
      <c r="A614" s="71"/>
      <c r="E614" s="72"/>
      <c r="F614" s="72"/>
      <c r="G614" s="72"/>
    </row>
    <row r="615">
      <c r="A615" s="71"/>
      <c r="E615" s="72"/>
      <c r="F615" s="72"/>
      <c r="G615" s="72"/>
    </row>
    <row r="616">
      <c r="A616" s="71"/>
      <c r="E616" s="72"/>
      <c r="F616" s="72"/>
      <c r="G616" s="72"/>
    </row>
    <row r="617">
      <c r="A617" s="71"/>
      <c r="E617" s="72"/>
      <c r="F617" s="72"/>
      <c r="G617" s="72"/>
    </row>
    <row r="618">
      <c r="A618" s="71"/>
      <c r="E618" s="72"/>
      <c r="F618" s="72"/>
      <c r="G618" s="72"/>
    </row>
    <row r="619">
      <c r="A619" s="71"/>
      <c r="E619" s="72"/>
      <c r="F619" s="72"/>
      <c r="G619" s="72"/>
    </row>
    <row r="620">
      <c r="A620" s="71"/>
      <c r="E620" s="72"/>
      <c r="F620" s="72"/>
      <c r="G620" s="72"/>
    </row>
    <row r="621">
      <c r="A621" s="71"/>
      <c r="E621" s="72"/>
      <c r="F621" s="72"/>
      <c r="G621" s="72"/>
    </row>
    <row r="622">
      <c r="A622" s="71"/>
      <c r="E622" s="72"/>
      <c r="F622" s="72"/>
      <c r="G622" s="72"/>
    </row>
    <row r="623">
      <c r="A623" s="71"/>
      <c r="E623" s="72"/>
      <c r="F623" s="72"/>
      <c r="G623" s="72"/>
    </row>
    <row r="624">
      <c r="A624" s="71"/>
      <c r="E624" s="72"/>
      <c r="F624" s="72"/>
      <c r="G624" s="72"/>
    </row>
    <row r="625">
      <c r="A625" s="71"/>
      <c r="E625" s="72"/>
      <c r="F625" s="72"/>
      <c r="G625" s="72"/>
    </row>
    <row r="626">
      <c r="A626" s="71"/>
      <c r="E626" s="72"/>
      <c r="F626" s="72"/>
      <c r="G626" s="72"/>
    </row>
    <row r="627">
      <c r="A627" s="71"/>
      <c r="E627" s="72"/>
      <c r="F627" s="72"/>
      <c r="G627" s="72"/>
    </row>
    <row r="628">
      <c r="A628" s="71"/>
      <c r="E628" s="72"/>
      <c r="F628" s="72"/>
      <c r="G628" s="72"/>
    </row>
    <row r="629">
      <c r="A629" s="71"/>
      <c r="E629" s="72"/>
      <c r="F629" s="72"/>
      <c r="G629" s="72"/>
    </row>
    <row r="630">
      <c r="A630" s="71"/>
      <c r="E630" s="72"/>
      <c r="F630" s="72"/>
      <c r="G630" s="72"/>
    </row>
    <row r="631">
      <c r="A631" s="71"/>
      <c r="E631" s="72"/>
      <c r="F631" s="72"/>
      <c r="G631" s="72"/>
    </row>
    <row r="632">
      <c r="A632" s="71"/>
      <c r="E632" s="72"/>
      <c r="F632" s="72"/>
      <c r="G632" s="72"/>
    </row>
    <row r="633">
      <c r="A633" s="71"/>
      <c r="E633" s="72"/>
      <c r="F633" s="72"/>
      <c r="G633" s="72"/>
    </row>
    <row r="634">
      <c r="A634" s="71"/>
      <c r="E634" s="72"/>
      <c r="F634" s="72"/>
      <c r="G634" s="72"/>
    </row>
    <row r="635">
      <c r="A635" s="71"/>
      <c r="E635" s="72"/>
      <c r="F635" s="72"/>
      <c r="G635" s="72"/>
    </row>
    <row r="636">
      <c r="A636" s="71"/>
      <c r="E636" s="72"/>
      <c r="F636" s="72"/>
      <c r="G636" s="72"/>
    </row>
    <row r="637">
      <c r="A637" s="71"/>
      <c r="E637" s="72"/>
      <c r="F637" s="72"/>
      <c r="G637" s="72"/>
    </row>
    <row r="638">
      <c r="A638" s="71"/>
      <c r="E638" s="72"/>
      <c r="F638" s="72"/>
      <c r="G638" s="72"/>
    </row>
    <row r="639">
      <c r="A639" s="71"/>
      <c r="E639" s="72"/>
      <c r="F639" s="72"/>
      <c r="G639" s="72"/>
    </row>
    <row r="640">
      <c r="A640" s="71"/>
      <c r="E640" s="72"/>
      <c r="F640" s="72"/>
      <c r="G640" s="72"/>
    </row>
    <row r="641">
      <c r="A641" s="71"/>
      <c r="E641" s="72"/>
      <c r="F641" s="72"/>
      <c r="G641" s="72"/>
    </row>
    <row r="642">
      <c r="A642" s="71"/>
      <c r="E642" s="72"/>
      <c r="F642" s="72"/>
      <c r="G642" s="72"/>
    </row>
    <row r="643">
      <c r="A643" s="71"/>
      <c r="E643" s="72"/>
      <c r="F643" s="72"/>
      <c r="G643" s="72"/>
    </row>
    <row r="644">
      <c r="A644" s="71"/>
      <c r="E644" s="72"/>
      <c r="F644" s="72"/>
      <c r="G644" s="72"/>
    </row>
    <row r="645">
      <c r="A645" s="71"/>
      <c r="E645" s="72"/>
      <c r="F645" s="72"/>
      <c r="G645" s="72"/>
    </row>
    <row r="646">
      <c r="A646" s="71"/>
      <c r="E646" s="72"/>
      <c r="F646" s="72"/>
      <c r="G646" s="72"/>
    </row>
    <row r="647">
      <c r="A647" s="71"/>
      <c r="E647" s="72"/>
      <c r="F647" s="72"/>
      <c r="G647" s="72"/>
    </row>
    <row r="648">
      <c r="A648" s="71"/>
      <c r="E648" s="72"/>
      <c r="F648" s="72"/>
      <c r="G648" s="72"/>
    </row>
    <row r="649">
      <c r="A649" s="71"/>
      <c r="E649" s="72"/>
      <c r="F649" s="72"/>
      <c r="G649" s="72"/>
    </row>
    <row r="650">
      <c r="A650" s="71"/>
      <c r="E650" s="72"/>
      <c r="F650" s="72"/>
      <c r="G650" s="72"/>
    </row>
    <row r="651">
      <c r="A651" s="71"/>
      <c r="E651" s="72"/>
      <c r="F651" s="72"/>
      <c r="G651" s="72"/>
    </row>
    <row r="652">
      <c r="A652" s="71"/>
      <c r="E652" s="72"/>
      <c r="F652" s="72"/>
      <c r="G652" s="72"/>
    </row>
    <row r="653">
      <c r="A653" s="71"/>
      <c r="E653" s="72"/>
      <c r="F653" s="72"/>
      <c r="G653" s="72"/>
    </row>
    <row r="654">
      <c r="A654" s="71"/>
      <c r="E654" s="72"/>
      <c r="F654" s="72"/>
      <c r="G654" s="72"/>
    </row>
    <row r="655">
      <c r="A655" s="71"/>
      <c r="E655" s="72"/>
      <c r="F655" s="72"/>
      <c r="G655" s="72"/>
    </row>
    <row r="656">
      <c r="A656" s="71"/>
      <c r="E656" s="72"/>
      <c r="F656" s="72"/>
      <c r="G656" s="72"/>
    </row>
    <row r="657">
      <c r="A657" s="71"/>
      <c r="E657" s="72"/>
      <c r="F657" s="72"/>
      <c r="G657" s="72"/>
    </row>
    <row r="658">
      <c r="A658" s="71"/>
      <c r="E658" s="72"/>
      <c r="F658" s="72"/>
      <c r="G658" s="72"/>
    </row>
    <row r="659">
      <c r="A659" s="71"/>
      <c r="E659" s="72"/>
      <c r="F659" s="72"/>
      <c r="G659" s="72"/>
    </row>
    <row r="660">
      <c r="A660" s="71"/>
      <c r="E660" s="72"/>
      <c r="F660" s="72"/>
      <c r="G660" s="72"/>
    </row>
    <row r="661">
      <c r="A661" s="71"/>
      <c r="E661" s="72"/>
      <c r="F661" s="72"/>
      <c r="G661" s="72"/>
    </row>
    <row r="662">
      <c r="A662" s="71"/>
      <c r="E662" s="72"/>
      <c r="F662" s="72"/>
      <c r="G662" s="72"/>
    </row>
    <row r="663">
      <c r="A663" s="71"/>
      <c r="E663" s="72"/>
      <c r="F663" s="72"/>
      <c r="G663" s="72"/>
    </row>
    <row r="664">
      <c r="A664" s="71"/>
      <c r="E664" s="72"/>
      <c r="F664" s="72"/>
      <c r="G664" s="72"/>
    </row>
    <row r="665">
      <c r="A665" s="71"/>
      <c r="E665" s="72"/>
      <c r="F665" s="72"/>
      <c r="G665" s="72"/>
    </row>
    <row r="666">
      <c r="A666" s="71"/>
      <c r="E666" s="72"/>
      <c r="F666" s="72"/>
      <c r="G666" s="72"/>
    </row>
    <row r="667">
      <c r="A667" s="71"/>
      <c r="E667" s="72"/>
      <c r="F667" s="72"/>
      <c r="G667" s="72"/>
    </row>
    <row r="668">
      <c r="A668" s="71"/>
      <c r="E668" s="72"/>
      <c r="F668" s="72"/>
      <c r="G668" s="72"/>
    </row>
    <row r="669">
      <c r="A669" s="71"/>
      <c r="E669" s="72"/>
      <c r="F669" s="72"/>
      <c r="G669" s="72"/>
    </row>
    <row r="670">
      <c r="A670" s="71"/>
      <c r="E670" s="72"/>
      <c r="F670" s="72"/>
      <c r="G670" s="72"/>
    </row>
    <row r="671">
      <c r="A671" s="71"/>
      <c r="E671" s="72"/>
      <c r="F671" s="72"/>
      <c r="G671" s="72"/>
    </row>
    <row r="672">
      <c r="A672" s="71"/>
      <c r="E672" s="72"/>
      <c r="F672" s="72"/>
      <c r="G672" s="72"/>
    </row>
    <row r="673">
      <c r="A673" s="71"/>
      <c r="E673" s="72"/>
      <c r="F673" s="72"/>
      <c r="G673" s="72"/>
    </row>
    <row r="674">
      <c r="A674" s="71"/>
      <c r="E674" s="72"/>
      <c r="F674" s="72"/>
      <c r="G674" s="72"/>
    </row>
    <row r="675">
      <c r="A675" s="71"/>
      <c r="E675" s="72"/>
      <c r="F675" s="72"/>
      <c r="G675" s="72"/>
    </row>
    <row r="676">
      <c r="A676" s="71"/>
      <c r="E676" s="72"/>
      <c r="F676" s="72"/>
      <c r="G676" s="72"/>
    </row>
    <row r="677">
      <c r="A677" s="71"/>
      <c r="E677" s="72"/>
      <c r="F677" s="72"/>
      <c r="G677" s="72"/>
    </row>
    <row r="678">
      <c r="A678" s="71"/>
      <c r="E678" s="72"/>
      <c r="F678" s="72"/>
      <c r="G678" s="72"/>
    </row>
    <row r="679">
      <c r="A679" s="71"/>
      <c r="E679" s="72"/>
      <c r="F679" s="72"/>
      <c r="G679" s="72"/>
    </row>
    <row r="680">
      <c r="A680" s="71"/>
      <c r="E680" s="72"/>
      <c r="F680" s="72"/>
      <c r="G680" s="72"/>
    </row>
    <row r="681">
      <c r="A681" s="71"/>
      <c r="E681" s="72"/>
      <c r="F681" s="72"/>
      <c r="G681" s="72"/>
    </row>
    <row r="682">
      <c r="A682" s="71"/>
      <c r="E682" s="72"/>
      <c r="F682" s="72"/>
      <c r="G682" s="72"/>
    </row>
    <row r="683">
      <c r="A683" s="71"/>
      <c r="E683" s="72"/>
      <c r="F683" s="72"/>
      <c r="G683" s="72"/>
    </row>
    <row r="684">
      <c r="A684" s="71"/>
      <c r="E684" s="72"/>
      <c r="F684" s="72"/>
      <c r="G684" s="72"/>
    </row>
    <row r="685">
      <c r="A685" s="71"/>
      <c r="E685" s="72"/>
      <c r="F685" s="72"/>
      <c r="G685" s="72"/>
    </row>
    <row r="686">
      <c r="A686" s="71"/>
      <c r="E686" s="72"/>
      <c r="F686" s="72"/>
      <c r="G686" s="72"/>
    </row>
    <row r="687">
      <c r="A687" s="71"/>
      <c r="E687" s="72"/>
      <c r="F687" s="72"/>
      <c r="G687" s="72"/>
    </row>
    <row r="688">
      <c r="A688" s="71"/>
      <c r="E688" s="72"/>
      <c r="F688" s="72"/>
      <c r="G688" s="72"/>
    </row>
    <row r="689">
      <c r="A689" s="71"/>
      <c r="E689" s="72"/>
      <c r="F689" s="72"/>
      <c r="G689" s="72"/>
    </row>
    <row r="690">
      <c r="A690" s="71"/>
      <c r="E690" s="72"/>
      <c r="F690" s="72"/>
      <c r="G690" s="72"/>
    </row>
    <row r="691">
      <c r="A691" s="71"/>
      <c r="E691" s="72"/>
      <c r="F691" s="72"/>
      <c r="G691" s="72"/>
    </row>
    <row r="692">
      <c r="A692" s="71"/>
      <c r="E692" s="72"/>
      <c r="F692" s="72"/>
      <c r="G692" s="72"/>
    </row>
    <row r="693">
      <c r="A693" s="71"/>
      <c r="E693" s="72"/>
      <c r="F693" s="72"/>
      <c r="G693" s="72"/>
    </row>
    <row r="694">
      <c r="A694" s="71"/>
      <c r="E694" s="72"/>
      <c r="F694" s="72"/>
      <c r="G694" s="72"/>
    </row>
    <row r="695">
      <c r="A695" s="71"/>
      <c r="E695" s="72"/>
      <c r="F695" s="72"/>
      <c r="G695" s="72"/>
    </row>
    <row r="696">
      <c r="A696" s="71"/>
      <c r="E696" s="72"/>
      <c r="F696" s="72"/>
      <c r="G696" s="72"/>
    </row>
    <row r="697">
      <c r="A697" s="71"/>
      <c r="E697" s="72"/>
      <c r="F697" s="72"/>
      <c r="G697" s="72"/>
    </row>
    <row r="698">
      <c r="A698" s="71"/>
      <c r="E698" s="72"/>
      <c r="F698" s="72"/>
      <c r="G698" s="72"/>
    </row>
    <row r="699">
      <c r="A699" s="71"/>
      <c r="E699" s="72"/>
      <c r="F699" s="72"/>
      <c r="G699" s="72"/>
    </row>
    <row r="700">
      <c r="A700" s="71"/>
      <c r="E700" s="72"/>
      <c r="F700" s="72"/>
      <c r="G700" s="72"/>
    </row>
    <row r="701">
      <c r="A701" s="71"/>
      <c r="E701" s="72"/>
      <c r="F701" s="72"/>
      <c r="G701" s="72"/>
    </row>
    <row r="702">
      <c r="A702" s="71"/>
      <c r="E702" s="72"/>
      <c r="F702" s="72"/>
      <c r="G702" s="72"/>
    </row>
    <row r="703">
      <c r="A703" s="71"/>
      <c r="E703" s="72"/>
      <c r="F703" s="72"/>
      <c r="G703" s="72"/>
    </row>
    <row r="704">
      <c r="A704" s="71"/>
      <c r="E704" s="72"/>
      <c r="F704" s="72"/>
      <c r="G704" s="72"/>
    </row>
    <row r="705">
      <c r="A705" s="71"/>
      <c r="E705" s="72"/>
      <c r="F705" s="72"/>
      <c r="G705" s="72"/>
    </row>
    <row r="706">
      <c r="A706" s="71"/>
      <c r="E706" s="72"/>
      <c r="F706" s="72"/>
      <c r="G706" s="72"/>
    </row>
    <row r="707">
      <c r="A707" s="71"/>
      <c r="E707" s="72"/>
      <c r="F707" s="72"/>
      <c r="G707" s="72"/>
    </row>
    <row r="708">
      <c r="A708" s="71"/>
      <c r="E708" s="72"/>
      <c r="F708" s="72"/>
      <c r="G708" s="72"/>
    </row>
    <row r="709">
      <c r="A709" s="71"/>
      <c r="E709" s="72"/>
      <c r="F709" s="72"/>
      <c r="G709" s="72"/>
    </row>
    <row r="710">
      <c r="A710" s="71"/>
      <c r="E710" s="72"/>
      <c r="F710" s="72"/>
      <c r="G710" s="72"/>
    </row>
    <row r="711">
      <c r="A711" s="71"/>
      <c r="E711" s="72"/>
      <c r="F711" s="72"/>
      <c r="G711" s="72"/>
    </row>
    <row r="712">
      <c r="A712" s="71"/>
      <c r="E712" s="72"/>
      <c r="F712" s="72"/>
      <c r="G712" s="72"/>
    </row>
    <row r="713">
      <c r="A713" s="71"/>
      <c r="E713" s="72"/>
      <c r="F713" s="72"/>
      <c r="G713" s="72"/>
    </row>
    <row r="714">
      <c r="A714" s="71"/>
      <c r="E714" s="72"/>
      <c r="F714" s="72"/>
      <c r="G714" s="72"/>
    </row>
    <row r="715">
      <c r="A715" s="71"/>
      <c r="E715" s="72"/>
      <c r="F715" s="72"/>
      <c r="G715" s="72"/>
    </row>
    <row r="716">
      <c r="A716" s="71"/>
      <c r="E716" s="72"/>
      <c r="F716" s="72"/>
      <c r="G716" s="72"/>
    </row>
    <row r="717">
      <c r="A717" s="71"/>
      <c r="E717" s="72"/>
      <c r="F717" s="72"/>
      <c r="G717" s="72"/>
    </row>
    <row r="718">
      <c r="A718" s="71"/>
      <c r="E718" s="72"/>
      <c r="F718" s="72"/>
      <c r="G718" s="72"/>
    </row>
    <row r="719">
      <c r="A719" s="71"/>
      <c r="E719" s="72"/>
      <c r="F719" s="72"/>
      <c r="G719" s="72"/>
    </row>
    <row r="720">
      <c r="A720" s="71"/>
      <c r="E720" s="72"/>
      <c r="F720" s="72"/>
      <c r="G720" s="72"/>
    </row>
    <row r="721">
      <c r="A721" s="71"/>
      <c r="E721" s="72"/>
      <c r="F721" s="72"/>
      <c r="G721" s="72"/>
    </row>
    <row r="722">
      <c r="A722" s="71"/>
      <c r="E722" s="72"/>
      <c r="F722" s="72"/>
      <c r="G722" s="72"/>
    </row>
    <row r="723">
      <c r="A723" s="71"/>
      <c r="E723" s="72"/>
      <c r="F723" s="72"/>
      <c r="G723" s="72"/>
    </row>
    <row r="724">
      <c r="A724" s="71"/>
      <c r="E724" s="72"/>
      <c r="F724" s="72"/>
      <c r="G724" s="72"/>
    </row>
    <row r="725">
      <c r="A725" s="71"/>
      <c r="E725" s="72"/>
      <c r="F725" s="72"/>
      <c r="G725" s="72"/>
    </row>
    <row r="726">
      <c r="A726" s="71"/>
      <c r="E726" s="72"/>
      <c r="F726" s="72"/>
      <c r="G726" s="72"/>
    </row>
    <row r="727">
      <c r="A727" s="71"/>
      <c r="E727" s="72"/>
      <c r="F727" s="72"/>
      <c r="G727" s="72"/>
    </row>
    <row r="728">
      <c r="A728" s="71"/>
      <c r="E728" s="72"/>
      <c r="F728" s="72"/>
      <c r="G728" s="72"/>
    </row>
    <row r="729">
      <c r="A729" s="71"/>
      <c r="E729" s="72"/>
      <c r="F729" s="72"/>
      <c r="G729" s="72"/>
    </row>
    <row r="730">
      <c r="A730" s="71"/>
      <c r="E730" s="72"/>
      <c r="F730" s="72"/>
      <c r="G730" s="72"/>
    </row>
    <row r="731">
      <c r="A731" s="71"/>
      <c r="E731" s="72"/>
      <c r="F731" s="72"/>
      <c r="G731" s="72"/>
    </row>
    <row r="732">
      <c r="A732" s="71"/>
      <c r="E732" s="72"/>
      <c r="F732" s="72"/>
      <c r="G732" s="72"/>
    </row>
    <row r="733">
      <c r="A733" s="71"/>
      <c r="E733" s="72"/>
      <c r="F733" s="72"/>
      <c r="G733" s="72"/>
    </row>
    <row r="734">
      <c r="A734" s="71"/>
      <c r="E734" s="72"/>
      <c r="F734" s="72"/>
      <c r="G734" s="72"/>
    </row>
    <row r="735">
      <c r="A735" s="71"/>
      <c r="E735" s="72"/>
      <c r="F735" s="72"/>
      <c r="G735" s="72"/>
    </row>
    <row r="736">
      <c r="A736" s="71"/>
      <c r="E736" s="72"/>
      <c r="F736" s="72"/>
      <c r="G736" s="72"/>
    </row>
    <row r="737">
      <c r="A737" s="71"/>
      <c r="E737" s="72"/>
      <c r="F737" s="72"/>
      <c r="G737" s="72"/>
    </row>
    <row r="738">
      <c r="A738" s="71"/>
      <c r="E738" s="72"/>
      <c r="F738" s="72"/>
      <c r="G738" s="72"/>
    </row>
    <row r="739">
      <c r="A739" s="71"/>
      <c r="E739" s="72"/>
      <c r="F739" s="72"/>
      <c r="G739" s="72"/>
    </row>
    <row r="740">
      <c r="A740" s="71"/>
      <c r="E740" s="72"/>
      <c r="F740" s="72"/>
      <c r="G740" s="72"/>
    </row>
    <row r="741">
      <c r="A741" s="71"/>
      <c r="E741" s="72"/>
      <c r="F741" s="72"/>
      <c r="G741" s="72"/>
    </row>
    <row r="742">
      <c r="A742" s="71"/>
      <c r="E742" s="72"/>
      <c r="F742" s="72"/>
      <c r="G742" s="72"/>
    </row>
    <row r="743">
      <c r="A743" s="71"/>
      <c r="E743" s="72"/>
      <c r="F743" s="72"/>
      <c r="G743" s="72"/>
    </row>
    <row r="744">
      <c r="A744" s="71"/>
      <c r="E744" s="72"/>
      <c r="F744" s="72"/>
      <c r="G744" s="72"/>
    </row>
    <row r="745">
      <c r="A745" s="71"/>
      <c r="E745" s="72"/>
      <c r="F745" s="72"/>
      <c r="G745" s="72"/>
    </row>
    <row r="746">
      <c r="A746" s="71"/>
      <c r="E746" s="72"/>
      <c r="F746" s="72"/>
      <c r="G746" s="72"/>
    </row>
    <row r="747">
      <c r="A747" s="71"/>
      <c r="E747" s="72"/>
      <c r="F747" s="72"/>
      <c r="G747" s="72"/>
    </row>
    <row r="748">
      <c r="A748" s="71"/>
      <c r="E748" s="72"/>
      <c r="F748" s="72"/>
      <c r="G748" s="72"/>
    </row>
    <row r="749">
      <c r="A749" s="71"/>
      <c r="E749" s="72"/>
      <c r="F749" s="72"/>
      <c r="G749" s="72"/>
    </row>
    <row r="750">
      <c r="A750" s="71"/>
      <c r="E750" s="72"/>
      <c r="F750" s="72"/>
      <c r="G750" s="72"/>
    </row>
    <row r="751">
      <c r="A751" s="71"/>
      <c r="E751" s="72"/>
      <c r="F751" s="72"/>
      <c r="G751" s="72"/>
    </row>
    <row r="752">
      <c r="A752" s="71"/>
      <c r="E752" s="72"/>
      <c r="F752" s="72"/>
      <c r="G752" s="72"/>
    </row>
    <row r="753">
      <c r="A753" s="71"/>
      <c r="E753" s="72"/>
      <c r="F753" s="72"/>
      <c r="G753" s="72"/>
    </row>
    <row r="754">
      <c r="A754" s="71"/>
      <c r="E754" s="72"/>
      <c r="F754" s="72"/>
      <c r="G754" s="72"/>
    </row>
    <row r="755">
      <c r="A755" s="71"/>
      <c r="E755" s="72"/>
      <c r="F755" s="72"/>
      <c r="G755" s="72"/>
    </row>
    <row r="756">
      <c r="A756" s="71"/>
      <c r="E756" s="72"/>
      <c r="F756" s="72"/>
      <c r="G756" s="72"/>
    </row>
    <row r="757">
      <c r="A757" s="71"/>
      <c r="E757" s="72"/>
      <c r="F757" s="72"/>
      <c r="G757" s="72"/>
    </row>
    <row r="758">
      <c r="A758" s="71"/>
      <c r="E758" s="72"/>
      <c r="F758" s="72"/>
      <c r="G758" s="72"/>
    </row>
    <row r="759">
      <c r="A759" s="71"/>
      <c r="E759" s="72"/>
      <c r="F759" s="72"/>
      <c r="G759" s="72"/>
    </row>
    <row r="760">
      <c r="A760" s="71"/>
      <c r="E760" s="72"/>
      <c r="F760" s="72"/>
      <c r="G760" s="72"/>
    </row>
    <row r="761">
      <c r="A761" s="71"/>
      <c r="E761" s="72"/>
      <c r="F761" s="72"/>
      <c r="G761" s="72"/>
    </row>
    <row r="762">
      <c r="A762" s="71"/>
      <c r="E762" s="72"/>
      <c r="F762" s="72"/>
      <c r="G762" s="72"/>
    </row>
    <row r="763">
      <c r="A763" s="71"/>
      <c r="E763" s="72"/>
      <c r="F763" s="72"/>
      <c r="G763" s="72"/>
    </row>
    <row r="764">
      <c r="A764" s="71"/>
      <c r="E764" s="72"/>
      <c r="F764" s="72"/>
      <c r="G764" s="72"/>
    </row>
    <row r="765">
      <c r="A765" s="71"/>
      <c r="E765" s="72"/>
      <c r="F765" s="72"/>
      <c r="G765" s="72"/>
    </row>
    <row r="766">
      <c r="A766" s="71"/>
      <c r="E766" s="72"/>
      <c r="F766" s="72"/>
      <c r="G766" s="72"/>
    </row>
    <row r="767">
      <c r="A767" s="71"/>
      <c r="E767" s="72"/>
      <c r="F767" s="72"/>
      <c r="G767" s="72"/>
    </row>
    <row r="768">
      <c r="A768" s="71"/>
      <c r="E768" s="72"/>
      <c r="F768" s="72"/>
      <c r="G768" s="72"/>
    </row>
    <row r="769">
      <c r="A769" s="71"/>
      <c r="E769" s="72"/>
      <c r="F769" s="72"/>
      <c r="G769" s="72"/>
    </row>
    <row r="770">
      <c r="A770" s="71"/>
      <c r="E770" s="72"/>
      <c r="F770" s="72"/>
      <c r="G770" s="72"/>
    </row>
    <row r="771">
      <c r="A771" s="71"/>
      <c r="E771" s="72"/>
      <c r="F771" s="72"/>
      <c r="G771" s="72"/>
    </row>
    <row r="772">
      <c r="A772" s="71"/>
      <c r="E772" s="72"/>
      <c r="F772" s="72"/>
      <c r="G772" s="72"/>
    </row>
    <row r="773">
      <c r="A773" s="71"/>
      <c r="E773" s="72"/>
      <c r="F773" s="72"/>
      <c r="G773" s="72"/>
    </row>
    <row r="774">
      <c r="A774" s="71"/>
      <c r="E774" s="72"/>
      <c r="F774" s="72"/>
      <c r="G774" s="72"/>
    </row>
    <row r="775">
      <c r="A775" s="71"/>
      <c r="E775" s="72"/>
      <c r="F775" s="72"/>
      <c r="G775" s="72"/>
    </row>
    <row r="776">
      <c r="A776" s="71"/>
      <c r="E776" s="72"/>
      <c r="F776" s="72"/>
      <c r="G776" s="72"/>
    </row>
    <row r="777">
      <c r="A777" s="71"/>
      <c r="E777" s="72"/>
      <c r="F777" s="72"/>
      <c r="G777" s="72"/>
    </row>
    <row r="778">
      <c r="A778" s="71"/>
      <c r="E778" s="72"/>
      <c r="F778" s="72"/>
      <c r="G778" s="72"/>
    </row>
    <row r="779">
      <c r="A779" s="71"/>
      <c r="E779" s="72"/>
      <c r="F779" s="72"/>
      <c r="G779" s="72"/>
    </row>
    <row r="780">
      <c r="A780" s="71"/>
      <c r="E780" s="72"/>
      <c r="F780" s="72"/>
      <c r="G780" s="72"/>
    </row>
    <row r="781">
      <c r="A781" s="71"/>
      <c r="E781" s="72"/>
      <c r="F781" s="72"/>
      <c r="G781" s="72"/>
    </row>
    <row r="782">
      <c r="A782" s="71"/>
      <c r="E782" s="72"/>
      <c r="F782" s="72"/>
      <c r="G782" s="72"/>
    </row>
    <row r="783">
      <c r="A783" s="71"/>
      <c r="E783" s="72"/>
      <c r="F783" s="72"/>
      <c r="G783" s="72"/>
    </row>
    <row r="784">
      <c r="A784" s="71"/>
      <c r="E784" s="72"/>
      <c r="F784" s="72"/>
      <c r="G784" s="72"/>
    </row>
    <row r="785">
      <c r="A785" s="71"/>
      <c r="E785" s="72"/>
      <c r="F785" s="72"/>
      <c r="G785" s="72"/>
    </row>
    <row r="786">
      <c r="A786" s="71"/>
      <c r="E786" s="72"/>
      <c r="F786" s="72"/>
      <c r="G786" s="72"/>
    </row>
    <row r="787">
      <c r="A787" s="71"/>
      <c r="E787" s="72"/>
      <c r="F787" s="72"/>
      <c r="G787" s="72"/>
    </row>
    <row r="788">
      <c r="A788" s="71"/>
      <c r="E788" s="72"/>
      <c r="F788" s="72"/>
      <c r="G788" s="72"/>
    </row>
    <row r="789">
      <c r="A789" s="71"/>
      <c r="E789" s="72"/>
      <c r="F789" s="72"/>
      <c r="G789" s="72"/>
    </row>
    <row r="790">
      <c r="A790" s="71"/>
      <c r="E790" s="72"/>
      <c r="F790" s="72"/>
      <c r="G790" s="72"/>
    </row>
    <row r="791">
      <c r="A791" s="71"/>
      <c r="E791" s="72"/>
      <c r="F791" s="72"/>
      <c r="G791" s="72"/>
    </row>
    <row r="792">
      <c r="A792" s="71"/>
      <c r="E792" s="72"/>
      <c r="F792" s="72"/>
      <c r="G792" s="72"/>
    </row>
    <row r="793">
      <c r="A793" s="71"/>
      <c r="E793" s="72"/>
      <c r="F793" s="72"/>
      <c r="G793" s="72"/>
    </row>
    <row r="794">
      <c r="A794" s="71"/>
      <c r="E794" s="72"/>
      <c r="F794" s="72"/>
      <c r="G794" s="72"/>
    </row>
    <row r="795">
      <c r="A795" s="71"/>
      <c r="E795" s="72"/>
      <c r="F795" s="72"/>
      <c r="G795" s="72"/>
    </row>
    <row r="796">
      <c r="A796" s="71"/>
      <c r="E796" s="72"/>
      <c r="F796" s="72"/>
      <c r="G796" s="72"/>
    </row>
    <row r="797">
      <c r="A797" s="71"/>
      <c r="E797" s="72"/>
      <c r="F797" s="72"/>
      <c r="G797" s="72"/>
    </row>
    <row r="798">
      <c r="A798" s="71"/>
      <c r="E798" s="72"/>
      <c r="F798" s="72"/>
      <c r="G798" s="72"/>
    </row>
    <row r="799">
      <c r="A799" s="71"/>
      <c r="E799" s="72"/>
      <c r="F799" s="72"/>
      <c r="G799" s="72"/>
    </row>
    <row r="800">
      <c r="A800" s="71"/>
      <c r="E800" s="72"/>
      <c r="F800" s="72"/>
      <c r="G800" s="72"/>
    </row>
    <row r="801">
      <c r="A801" s="71"/>
      <c r="E801" s="72"/>
      <c r="F801" s="72"/>
      <c r="G801" s="72"/>
    </row>
    <row r="802">
      <c r="A802" s="71"/>
      <c r="E802" s="72"/>
      <c r="F802" s="72"/>
      <c r="G802" s="72"/>
    </row>
    <row r="803">
      <c r="A803" s="71"/>
      <c r="E803" s="72"/>
      <c r="F803" s="72"/>
      <c r="G803" s="72"/>
    </row>
    <row r="804">
      <c r="A804" s="71"/>
      <c r="E804" s="72"/>
      <c r="F804" s="72"/>
      <c r="G804" s="72"/>
    </row>
    <row r="805">
      <c r="A805" s="71"/>
      <c r="E805" s="72"/>
      <c r="F805" s="72"/>
      <c r="G805" s="72"/>
    </row>
    <row r="806">
      <c r="A806" s="71"/>
      <c r="E806" s="72"/>
      <c r="F806" s="72"/>
      <c r="G806" s="72"/>
    </row>
    <row r="807">
      <c r="A807" s="71"/>
      <c r="E807" s="72"/>
      <c r="F807" s="72"/>
      <c r="G807" s="72"/>
    </row>
    <row r="808">
      <c r="A808" s="71"/>
      <c r="E808" s="72"/>
      <c r="F808" s="72"/>
      <c r="G808" s="72"/>
    </row>
    <row r="809">
      <c r="A809" s="71"/>
      <c r="E809" s="72"/>
      <c r="F809" s="72"/>
      <c r="G809" s="72"/>
    </row>
    <row r="810">
      <c r="A810" s="71"/>
      <c r="E810" s="72"/>
      <c r="F810" s="72"/>
      <c r="G810" s="72"/>
    </row>
    <row r="811">
      <c r="A811" s="71"/>
      <c r="E811" s="72"/>
      <c r="F811" s="72"/>
      <c r="G811" s="72"/>
    </row>
    <row r="812">
      <c r="A812" s="71"/>
      <c r="E812" s="72"/>
      <c r="F812" s="72"/>
      <c r="G812" s="72"/>
    </row>
    <row r="813">
      <c r="A813" s="71"/>
      <c r="E813" s="72"/>
      <c r="F813" s="72"/>
      <c r="G813" s="72"/>
    </row>
    <row r="814">
      <c r="A814" s="71"/>
      <c r="E814" s="72"/>
      <c r="F814" s="72"/>
      <c r="G814" s="72"/>
    </row>
    <row r="815">
      <c r="A815" s="71"/>
      <c r="E815" s="72"/>
      <c r="F815" s="72"/>
      <c r="G815" s="72"/>
    </row>
    <row r="816">
      <c r="A816" s="71"/>
      <c r="E816" s="72"/>
      <c r="F816" s="72"/>
      <c r="G816" s="72"/>
    </row>
    <row r="817">
      <c r="A817" s="71"/>
      <c r="E817" s="72"/>
      <c r="F817" s="72"/>
      <c r="G817" s="72"/>
    </row>
    <row r="818">
      <c r="A818" s="71"/>
      <c r="E818" s="72"/>
      <c r="F818" s="72"/>
      <c r="G818" s="72"/>
    </row>
    <row r="819">
      <c r="A819" s="71"/>
      <c r="E819" s="72"/>
      <c r="F819" s="72"/>
      <c r="G819" s="72"/>
    </row>
    <row r="820">
      <c r="A820" s="71"/>
      <c r="E820" s="72"/>
      <c r="F820" s="72"/>
      <c r="G820" s="72"/>
    </row>
    <row r="821">
      <c r="A821" s="71"/>
      <c r="E821" s="72"/>
      <c r="F821" s="72"/>
      <c r="G821" s="72"/>
    </row>
    <row r="822">
      <c r="A822" s="71"/>
      <c r="E822" s="72"/>
      <c r="F822" s="72"/>
      <c r="G822" s="72"/>
    </row>
    <row r="823">
      <c r="A823" s="71"/>
      <c r="E823" s="72"/>
      <c r="F823" s="72"/>
      <c r="G823" s="72"/>
    </row>
    <row r="824">
      <c r="A824" s="71"/>
      <c r="E824" s="72"/>
      <c r="F824" s="72"/>
      <c r="G824" s="72"/>
    </row>
    <row r="825">
      <c r="A825" s="71"/>
      <c r="E825" s="72"/>
      <c r="F825" s="72"/>
      <c r="G825" s="72"/>
    </row>
    <row r="826">
      <c r="A826" s="71"/>
      <c r="E826" s="72"/>
      <c r="F826" s="72"/>
      <c r="G826" s="72"/>
    </row>
    <row r="827">
      <c r="A827" s="71"/>
      <c r="E827" s="72"/>
      <c r="F827" s="72"/>
      <c r="G827" s="72"/>
    </row>
    <row r="828">
      <c r="A828" s="71"/>
      <c r="E828" s="72"/>
      <c r="F828" s="72"/>
      <c r="G828" s="72"/>
    </row>
    <row r="829">
      <c r="A829" s="71"/>
      <c r="E829" s="72"/>
      <c r="F829" s="72"/>
      <c r="G829" s="72"/>
    </row>
    <row r="830">
      <c r="A830" s="71"/>
      <c r="E830" s="72"/>
      <c r="F830" s="72"/>
      <c r="G830" s="72"/>
    </row>
    <row r="831">
      <c r="A831" s="71"/>
      <c r="E831" s="72"/>
      <c r="F831" s="72"/>
      <c r="G831" s="72"/>
    </row>
    <row r="832">
      <c r="A832" s="71"/>
      <c r="E832" s="72"/>
      <c r="F832" s="72"/>
      <c r="G832" s="72"/>
    </row>
    <row r="833">
      <c r="A833" s="71"/>
      <c r="E833" s="72"/>
      <c r="F833" s="72"/>
      <c r="G833" s="72"/>
    </row>
    <row r="834">
      <c r="A834" s="71"/>
      <c r="E834" s="72"/>
      <c r="F834" s="72"/>
      <c r="G834" s="72"/>
    </row>
    <row r="835">
      <c r="A835" s="71"/>
      <c r="E835" s="72"/>
      <c r="F835" s="72"/>
      <c r="G835" s="72"/>
    </row>
    <row r="836">
      <c r="A836" s="71"/>
      <c r="E836" s="72"/>
      <c r="F836" s="72"/>
      <c r="G836" s="72"/>
    </row>
    <row r="837">
      <c r="A837" s="71"/>
      <c r="E837" s="72"/>
      <c r="F837" s="72"/>
      <c r="G837" s="72"/>
    </row>
    <row r="838">
      <c r="A838" s="71"/>
      <c r="E838" s="72"/>
      <c r="F838" s="72"/>
      <c r="G838" s="72"/>
    </row>
    <row r="839">
      <c r="A839" s="71"/>
      <c r="E839" s="72"/>
      <c r="F839" s="72"/>
      <c r="G839" s="72"/>
    </row>
    <row r="840">
      <c r="A840" s="71"/>
      <c r="E840" s="72"/>
      <c r="F840" s="72"/>
      <c r="G840" s="72"/>
    </row>
    <row r="841">
      <c r="A841" s="71"/>
      <c r="E841" s="72"/>
      <c r="F841" s="72"/>
      <c r="G841" s="72"/>
    </row>
    <row r="842">
      <c r="A842" s="71"/>
      <c r="E842" s="72"/>
      <c r="F842" s="72"/>
      <c r="G842" s="72"/>
    </row>
    <row r="843">
      <c r="A843" s="71"/>
      <c r="E843" s="72"/>
      <c r="F843" s="72"/>
      <c r="G843" s="72"/>
    </row>
    <row r="844">
      <c r="A844" s="71"/>
      <c r="E844" s="72"/>
      <c r="F844" s="72"/>
      <c r="G844" s="72"/>
    </row>
    <row r="845">
      <c r="A845" s="71"/>
      <c r="E845" s="72"/>
      <c r="F845" s="72"/>
      <c r="G845" s="72"/>
    </row>
    <row r="846">
      <c r="A846" s="71"/>
      <c r="E846" s="72"/>
      <c r="F846" s="72"/>
      <c r="G846" s="72"/>
    </row>
    <row r="847">
      <c r="A847" s="71"/>
      <c r="E847" s="72"/>
      <c r="F847" s="72"/>
      <c r="G847" s="72"/>
    </row>
    <row r="848">
      <c r="A848" s="71"/>
      <c r="E848" s="72"/>
      <c r="F848" s="72"/>
      <c r="G848" s="72"/>
    </row>
    <row r="849">
      <c r="A849" s="71"/>
      <c r="E849" s="72"/>
      <c r="F849" s="72"/>
      <c r="G849" s="72"/>
    </row>
    <row r="850">
      <c r="A850" s="71"/>
      <c r="E850" s="72"/>
      <c r="F850" s="72"/>
      <c r="G850" s="72"/>
    </row>
    <row r="851">
      <c r="A851" s="71"/>
      <c r="E851" s="72"/>
      <c r="F851" s="72"/>
      <c r="G851" s="72"/>
    </row>
    <row r="852">
      <c r="A852" s="71"/>
      <c r="E852" s="72"/>
      <c r="F852" s="72"/>
      <c r="G852" s="72"/>
    </row>
    <row r="853">
      <c r="A853" s="71"/>
      <c r="E853" s="72"/>
      <c r="F853" s="72"/>
      <c r="G853" s="72"/>
    </row>
    <row r="854">
      <c r="A854" s="71"/>
      <c r="E854" s="72"/>
      <c r="F854" s="72"/>
      <c r="G854" s="72"/>
    </row>
    <row r="855">
      <c r="A855" s="71"/>
      <c r="E855" s="72"/>
      <c r="F855" s="72"/>
      <c r="G855" s="72"/>
    </row>
    <row r="856">
      <c r="A856" s="71"/>
      <c r="E856" s="72"/>
      <c r="F856" s="72"/>
      <c r="G856" s="72"/>
    </row>
    <row r="857">
      <c r="A857" s="71"/>
      <c r="E857" s="72"/>
      <c r="F857" s="72"/>
      <c r="G857" s="72"/>
    </row>
    <row r="858">
      <c r="A858" s="71"/>
      <c r="E858" s="72"/>
      <c r="F858" s="72"/>
      <c r="G858" s="72"/>
    </row>
    <row r="859">
      <c r="A859" s="71"/>
      <c r="E859" s="72"/>
      <c r="F859" s="72"/>
      <c r="G859" s="72"/>
    </row>
    <row r="860">
      <c r="A860" s="71"/>
      <c r="E860" s="72"/>
      <c r="F860" s="72"/>
      <c r="G860" s="72"/>
    </row>
    <row r="861">
      <c r="A861" s="71"/>
      <c r="E861" s="72"/>
      <c r="F861" s="72"/>
      <c r="G861" s="72"/>
    </row>
    <row r="862">
      <c r="A862" s="71"/>
      <c r="E862" s="72"/>
      <c r="F862" s="72"/>
      <c r="G862" s="72"/>
    </row>
    <row r="863">
      <c r="A863" s="71"/>
      <c r="E863" s="72"/>
      <c r="F863" s="72"/>
      <c r="G863" s="72"/>
    </row>
    <row r="864">
      <c r="A864" s="71"/>
      <c r="E864" s="72"/>
      <c r="F864" s="72"/>
      <c r="G864" s="72"/>
    </row>
    <row r="865">
      <c r="A865" s="71"/>
      <c r="E865" s="72"/>
      <c r="F865" s="72"/>
      <c r="G865" s="72"/>
    </row>
    <row r="866">
      <c r="A866" s="71"/>
      <c r="E866" s="72"/>
      <c r="F866" s="72"/>
      <c r="G866" s="72"/>
    </row>
    <row r="867">
      <c r="A867" s="71"/>
      <c r="E867" s="72"/>
      <c r="F867" s="72"/>
      <c r="G867" s="72"/>
    </row>
    <row r="868">
      <c r="A868" s="71"/>
      <c r="E868" s="72"/>
      <c r="F868" s="72"/>
      <c r="G868" s="72"/>
    </row>
    <row r="869">
      <c r="A869" s="71"/>
      <c r="E869" s="72"/>
      <c r="F869" s="72"/>
      <c r="G869" s="72"/>
    </row>
    <row r="870">
      <c r="A870" s="71"/>
      <c r="E870" s="72"/>
      <c r="F870" s="72"/>
      <c r="G870" s="72"/>
    </row>
    <row r="871">
      <c r="A871" s="71"/>
      <c r="E871" s="72"/>
      <c r="F871" s="72"/>
      <c r="G871" s="72"/>
    </row>
    <row r="872">
      <c r="A872" s="71"/>
      <c r="E872" s="72"/>
      <c r="F872" s="72"/>
      <c r="G872" s="72"/>
    </row>
    <row r="873">
      <c r="A873" s="71"/>
      <c r="E873" s="72"/>
      <c r="F873" s="72"/>
      <c r="G873" s="72"/>
    </row>
    <row r="874">
      <c r="A874" s="71"/>
      <c r="E874" s="72"/>
      <c r="F874" s="72"/>
      <c r="G874" s="72"/>
    </row>
    <row r="875">
      <c r="A875" s="71"/>
      <c r="E875" s="72"/>
      <c r="F875" s="72"/>
      <c r="G875" s="72"/>
    </row>
    <row r="876">
      <c r="A876" s="71"/>
      <c r="E876" s="72"/>
      <c r="F876" s="72"/>
      <c r="G876" s="72"/>
    </row>
    <row r="877">
      <c r="A877" s="71"/>
      <c r="E877" s="72"/>
      <c r="F877" s="72"/>
      <c r="G877" s="72"/>
    </row>
    <row r="878">
      <c r="A878" s="71"/>
      <c r="E878" s="72"/>
      <c r="F878" s="72"/>
      <c r="G878" s="72"/>
    </row>
    <row r="879">
      <c r="A879" s="71"/>
      <c r="E879" s="72"/>
      <c r="F879" s="72"/>
      <c r="G879" s="72"/>
    </row>
    <row r="880">
      <c r="A880" s="71"/>
      <c r="E880" s="72"/>
      <c r="F880" s="72"/>
      <c r="G880" s="72"/>
    </row>
    <row r="881">
      <c r="A881" s="71"/>
      <c r="E881" s="72"/>
      <c r="F881" s="72"/>
      <c r="G881" s="72"/>
    </row>
    <row r="882">
      <c r="A882" s="71"/>
      <c r="E882" s="72"/>
      <c r="F882" s="72"/>
      <c r="G882" s="72"/>
    </row>
    <row r="883">
      <c r="A883" s="71"/>
      <c r="E883" s="72"/>
      <c r="F883" s="72"/>
      <c r="G883" s="72"/>
    </row>
    <row r="884">
      <c r="A884" s="71"/>
      <c r="E884" s="72"/>
      <c r="F884" s="72"/>
      <c r="G884" s="72"/>
    </row>
    <row r="885">
      <c r="A885" s="71"/>
      <c r="E885" s="72"/>
      <c r="F885" s="72"/>
      <c r="G885" s="72"/>
    </row>
    <row r="886">
      <c r="A886" s="71"/>
      <c r="E886" s="72"/>
      <c r="F886" s="72"/>
      <c r="G886" s="72"/>
    </row>
    <row r="887">
      <c r="A887" s="71"/>
      <c r="E887" s="72"/>
      <c r="F887" s="72"/>
      <c r="G887" s="72"/>
    </row>
    <row r="888">
      <c r="A888" s="71"/>
      <c r="E888" s="72"/>
      <c r="F888" s="72"/>
      <c r="G888" s="72"/>
    </row>
    <row r="889">
      <c r="A889" s="71"/>
      <c r="E889" s="72"/>
      <c r="F889" s="72"/>
      <c r="G889" s="72"/>
    </row>
    <row r="890">
      <c r="A890" s="71"/>
      <c r="E890" s="72"/>
      <c r="F890" s="72"/>
      <c r="G890" s="72"/>
    </row>
    <row r="891">
      <c r="A891" s="71"/>
      <c r="E891" s="72"/>
      <c r="F891" s="72"/>
      <c r="G891" s="72"/>
    </row>
    <row r="892">
      <c r="A892" s="71"/>
      <c r="E892" s="72"/>
      <c r="F892" s="72"/>
      <c r="G892" s="72"/>
    </row>
    <row r="893">
      <c r="A893" s="71"/>
      <c r="E893" s="72"/>
      <c r="F893" s="72"/>
      <c r="G893" s="72"/>
    </row>
    <row r="894">
      <c r="A894" s="71"/>
      <c r="E894" s="72"/>
      <c r="F894" s="72"/>
      <c r="G894" s="72"/>
    </row>
    <row r="895">
      <c r="A895" s="71"/>
      <c r="E895" s="72"/>
      <c r="F895" s="72"/>
      <c r="G895" s="72"/>
    </row>
    <row r="896">
      <c r="A896" s="71"/>
      <c r="E896" s="72"/>
      <c r="F896" s="72"/>
      <c r="G896" s="72"/>
    </row>
    <row r="897">
      <c r="A897" s="71"/>
      <c r="E897" s="72"/>
      <c r="F897" s="72"/>
      <c r="G897" s="72"/>
    </row>
    <row r="898">
      <c r="A898" s="71"/>
      <c r="E898" s="72"/>
      <c r="F898" s="72"/>
      <c r="G898" s="72"/>
    </row>
    <row r="899">
      <c r="A899" s="71"/>
      <c r="E899" s="72"/>
      <c r="F899" s="72"/>
      <c r="G899" s="72"/>
    </row>
    <row r="900">
      <c r="A900" s="71"/>
      <c r="E900" s="72"/>
      <c r="F900" s="72"/>
      <c r="G900" s="72"/>
    </row>
    <row r="901">
      <c r="A901" s="71"/>
      <c r="E901" s="72"/>
      <c r="F901" s="72"/>
      <c r="G901" s="72"/>
    </row>
    <row r="902">
      <c r="A902" s="71"/>
      <c r="E902" s="72"/>
      <c r="F902" s="72"/>
      <c r="G902" s="72"/>
    </row>
    <row r="903">
      <c r="A903" s="71"/>
      <c r="E903" s="72"/>
      <c r="F903" s="72"/>
      <c r="G903" s="72"/>
    </row>
    <row r="904">
      <c r="A904" s="71"/>
      <c r="E904" s="72"/>
      <c r="F904" s="72"/>
      <c r="G904" s="72"/>
    </row>
    <row r="905">
      <c r="A905" s="71"/>
      <c r="E905" s="72"/>
      <c r="F905" s="72"/>
      <c r="G905" s="72"/>
    </row>
    <row r="906">
      <c r="A906" s="71"/>
      <c r="E906" s="72"/>
      <c r="F906" s="72"/>
      <c r="G906" s="72"/>
    </row>
    <row r="907">
      <c r="A907" s="71"/>
      <c r="E907" s="72"/>
      <c r="F907" s="72"/>
      <c r="G907" s="72"/>
    </row>
    <row r="908">
      <c r="A908" s="71"/>
      <c r="E908" s="72"/>
      <c r="F908" s="72"/>
      <c r="G908" s="72"/>
    </row>
    <row r="909">
      <c r="A909" s="71"/>
      <c r="E909" s="72"/>
      <c r="F909" s="72"/>
      <c r="G909" s="72"/>
    </row>
    <row r="910">
      <c r="A910" s="71"/>
      <c r="E910" s="72"/>
      <c r="F910" s="72"/>
      <c r="G910" s="72"/>
    </row>
    <row r="911">
      <c r="A911" s="71"/>
      <c r="E911" s="72"/>
      <c r="F911" s="72"/>
      <c r="G911" s="72"/>
    </row>
    <row r="912">
      <c r="A912" s="71"/>
      <c r="E912" s="72"/>
      <c r="F912" s="72"/>
      <c r="G912" s="72"/>
    </row>
    <row r="913">
      <c r="A913" s="71"/>
      <c r="E913" s="72"/>
      <c r="F913" s="72"/>
      <c r="G913" s="72"/>
    </row>
    <row r="914">
      <c r="A914" s="71"/>
      <c r="E914" s="72"/>
      <c r="F914" s="72"/>
      <c r="G914" s="72"/>
    </row>
    <row r="915">
      <c r="A915" s="71"/>
      <c r="E915" s="72"/>
      <c r="F915" s="72"/>
      <c r="G915" s="72"/>
    </row>
    <row r="916">
      <c r="A916" s="71"/>
      <c r="E916" s="72"/>
      <c r="F916" s="72"/>
      <c r="G916" s="72"/>
    </row>
    <row r="917">
      <c r="A917" s="71"/>
      <c r="E917" s="72"/>
      <c r="F917" s="72"/>
      <c r="G917" s="72"/>
    </row>
    <row r="918">
      <c r="A918" s="71"/>
      <c r="E918" s="72"/>
      <c r="F918" s="72"/>
      <c r="G918" s="72"/>
    </row>
    <row r="919">
      <c r="A919" s="71"/>
      <c r="E919" s="72"/>
      <c r="F919" s="72"/>
      <c r="G919" s="72"/>
    </row>
    <row r="920">
      <c r="A920" s="71"/>
      <c r="E920" s="72"/>
      <c r="F920" s="72"/>
      <c r="G920" s="72"/>
    </row>
    <row r="921">
      <c r="A921" s="71"/>
      <c r="E921" s="72"/>
      <c r="F921" s="72"/>
      <c r="G921" s="72"/>
    </row>
    <row r="922">
      <c r="A922" s="71"/>
      <c r="E922" s="72"/>
      <c r="F922" s="72"/>
      <c r="G922" s="72"/>
    </row>
    <row r="923">
      <c r="A923" s="71"/>
      <c r="E923" s="72"/>
      <c r="F923" s="72"/>
      <c r="G923" s="72"/>
    </row>
    <row r="924">
      <c r="A924" s="71"/>
      <c r="E924" s="72"/>
      <c r="F924" s="72"/>
      <c r="G924" s="72"/>
    </row>
    <row r="925">
      <c r="A925" s="71"/>
      <c r="E925" s="72"/>
      <c r="F925" s="72"/>
      <c r="G925" s="72"/>
    </row>
    <row r="926">
      <c r="A926" s="71"/>
      <c r="E926" s="72"/>
      <c r="F926" s="72"/>
      <c r="G926" s="72"/>
    </row>
    <row r="927">
      <c r="A927" s="71"/>
      <c r="E927" s="72"/>
      <c r="F927" s="72"/>
      <c r="G927" s="72"/>
    </row>
    <row r="928">
      <c r="A928" s="71"/>
      <c r="E928" s="72"/>
      <c r="F928" s="72"/>
      <c r="G928" s="72"/>
    </row>
    <row r="929">
      <c r="A929" s="71"/>
      <c r="E929" s="72"/>
      <c r="F929" s="72"/>
      <c r="G929" s="72"/>
    </row>
    <row r="930">
      <c r="A930" s="71"/>
      <c r="E930" s="72"/>
      <c r="F930" s="72"/>
      <c r="G930" s="72"/>
    </row>
    <row r="931">
      <c r="A931" s="71"/>
      <c r="E931" s="72"/>
      <c r="F931" s="72"/>
      <c r="G931" s="72"/>
    </row>
    <row r="932">
      <c r="A932" s="71"/>
      <c r="E932" s="72"/>
      <c r="F932" s="72"/>
      <c r="G932" s="72"/>
    </row>
    <row r="933">
      <c r="A933" s="71"/>
      <c r="E933" s="72"/>
      <c r="F933" s="72"/>
      <c r="G933" s="72"/>
    </row>
    <row r="934">
      <c r="A934" s="71"/>
      <c r="E934" s="72"/>
      <c r="F934" s="72"/>
      <c r="G934" s="72"/>
    </row>
    <row r="935">
      <c r="A935" s="71"/>
      <c r="E935" s="72"/>
      <c r="F935" s="72"/>
      <c r="G935" s="72"/>
    </row>
    <row r="936">
      <c r="A936" s="71"/>
      <c r="E936" s="72"/>
      <c r="F936" s="72"/>
      <c r="G936" s="72"/>
    </row>
    <row r="937">
      <c r="A937" s="71"/>
      <c r="E937" s="72"/>
      <c r="F937" s="72"/>
      <c r="G937" s="72"/>
    </row>
    <row r="938">
      <c r="A938" s="71"/>
      <c r="E938" s="72"/>
      <c r="F938" s="72"/>
      <c r="G938" s="72"/>
    </row>
    <row r="939">
      <c r="A939" s="71"/>
      <c r="E939" s="72"/>
      <c r="F939" s="72"/>
      <c r="G939" s="72"/>
    </row>
    <row r="940">
      <c r="A940" s="71"/>
      <c r="E940" s="72"/>
      <c r="F940" s="72"/>
      <c r="G940" s="72"/>
    </row>
    <row r="941">
      <c r="A941" s="71"/>
      <c r="E941" s="72"/>
      <c r="F941" s="72"/>
      <c r="G941" s="72"/>
    </row>
    <row r="942">
      <c r="A942" s="71"/>
      <c r="E942" s="72"/>
      <c r="F942" s="72"/>
      <c r="G942" s="72"/>
    </row>
    <row r="943">
      <c r="A943" s="71"/>
      <c r="E943" s="72"/>
      <c r="F943" s="72"/>
      <c r="G943" s="72"/>
    </row>
    <row r="944">
      <c r="A944" s="71"/>
      <c r="E944" s="72"/>
      <c r="F944" s="72"/>
      <c r="G944" s="72"/>
    </row>
    <row r="945">
      <c r="A945" s="71"/>
      <c r="E945" s="72"/>
      <c r="F945" s="72"/>
      <c r="G945" s="72"/>
    </row>
    <row r="946">
      <c r="A946" s="71"/>
      <c r="E946" s="72"/>
      <c r="F946" s="72"/>
      <c r="G946" s="72"/>
    </row>
    <row r="947">
      <c r="A947" s="71"/>
      <c r="E947" s="72"/>
      <c r="F947" s="72"/>
      <c r="G947" s="72"/>
    </row>
    <row r="948">
      <c r="A948" s="71"/>
      <c r="E948" s="72"/>
      <c r="F948" s="72"/>
      <c r="G948" s="72"/>
    </row>
    <row r="949">
      <c r="A949" s="71"/>
      <c r="E949" s="72"/>
      <c r="F949" s="72"/>
      <c r="G949" s="72"/>
    </row>
    <row r="950">
      <c r="A950" s="71"/>
      <c r="E950" s="72"/>
      <c r="F950" s="72"/>
      <c r="G950" s="72"/>
    </row>
    <row r="951">
      <c r="A951" s="71"/>
      <c r="E951" s="72"/>
      <c r="F951" s="72"/>
      <c r="G951" s="72"/>
    </row>
    <row r="952">
      <c r="A952" s="71"/>
      <c r="E952" s="72"/>
      <c r="F952" s="72"/>
      <c r="G952" s="72"/>
    </row>
    <row r="953">
      <c r="A953" s="71"/>
      <c r="E953" s="72"/>
      <c r="F953" s="72"/>
      <c r="G953" s="72"/>
    </row>
    <row r="954">
      <c r="A954" s="71"/>
      <c r="E954" s="72"/>
      <c r="F954" s="72"/>
      <c r="G954" s="72"/>
    </row>
    <row r="955">
      <c r="A955" s="71"/>
      <c r="E955" s="72"/>
      <c r="F955" s="72"/>
      <c r="G955" s="72"/>
    </row>
    <row r="956">
      <c r="A956" s="71"/>
      <c r="E956" s="72"/>
      <c r="F956" s="72"/>
      <c r="G956" s="72"/>
    </row>
    <row r="957">
      <c r="A957" s="71"/>
      <c r="E957" s="72"/>
      <c r="F957" s="72"/>
      <c r="G957" s="72"/>
    </row>
    <row r="958">
      <c r="A958" s="71"/>
      <c r="E958" s="72"/>
      <c r="F958" s="72"/>
      <c r="G958" s="72"/>
    </row>
    <row r="959">
      <c r="A959" s="71"/>
      <c r="E959" s="72"/>
      <c r="F959" s="72"/>
      <c r="G959" s="72"/>
    </row>
    <row r="960">
      <c r="A960" s="71"/>
      <c r="E960" s="72"/>
      <c r="F960" s="72"/>
      <c r="G960" s="72"/>
    </row>
    <row r="961">
      <c r="A961" s="71"/>
      <c r="E961" s="72"/>
      <c r="F961" s="72"/>
      <c r="G961" s="72"/>
    </row>
    <row r="962">
      <c r="A962" s="71"/>
      <c r="E962" s="72"/>
      <c r="F962" s="72"/>
      <c r="G962" s="72"/>
    </row>
    <row r="963">
      <c r="A963" s="71"/>
      <c r="E963" s="72"/>
      <c r="F963" s="72"/>
      <c r="G963" s="72"/>
    </row>
    <row r="964">
      <c r="A964" s="71"/>
      <c r="E964" s="72"/>
      <c r="F964" s="72"/>
      <c r="G964" s="72"/>
    </row>
    <row r="965">
      <c r="A965" s="71"/>
      <c r="E965" s="72"/>
      <c r="F965" s="72"/>
      <c r="G965" s="72"/>
    </row>
    <row r="966">
      <c r="A966" s="71"/>
      <c r="E966" s="72"/>
      <c r="F966" s="72"/>
      <c r="G966" s="72"/>
    </row>
    <row r="967">
      <c r="A967" s="71"/>
      <c r="E967" s="72"/>
      <c r="F967" s="72"/>
      <c r="G967" s="72"/>
    </row>
    <row r="968">
      <c r="A968" s="71"/>
      <c r="E968" s="72"/>
      <c r="F968" s="72"/>
      <c r="G968" s="72"/>
    </row>
    <row r="969">
      <c r="A969" s="71"/>
      <c r="E969" s="72"/>
      <c r="F969" s="72"/>
      <c r="G969" s="72"/>
    </row>
    <row r="970">
      <c r="A970" s="71"/>
      <c r="E970" s="72"/>
      <c r="F970" s="72"/>
      <c r="G970" s="72"/>
    </row>
    <row r="971">
      <c r="A971" s="71"/>
      <c r="E971" s="72"/>
      <c r="F971" s="72"/>
      <c r="G971" s="72"/>
    </row>
    <row r="972">
      <c r="A972" s="71"/>
      <c r="E972" s="72"/>
      <c r="F972" s="72"/>
      <c r="G972" s="72"/>
    </row>
    <row r="973">
      <c r="A973" s="71"/>
      <c r="E973" s="72"/>
      <c r="F973" s="72"/>
      <c r="G973" s="72"/>
    </row>
    <row r="974">
      <c r="A974" s="71"/>
      <c r="E974" s="72"/>
      <c r="F974" s="72"/>
      <c r="G974" s="72"/>
    </row>
    <row r="975">
      <c r="A975" s="71"/>
      <c r="E975" s="72"/>
      <c r="F975" s="72"/>
      <c r="G975" s="72"/>
    </row>
    <row r="976">
      <c r="A976" s="71"/>
      <c r="E976" s="72"/>
      <c r="F976" s="72"/>
      <c r="G976" s="72"/>
    </row>
    <row r="977">
      <c r="A977" s="71"/>
      <c r="E977" s="72"/>
      <c r="F977" s="72"/>
      <c r="G977" s="72"/>
    </row>
    <row r="978">
      <c r="A978" s="71"/>
      <c r="E978" s="72"/>
      <c r="F978" s="72"/>
      <c r="G978" s="72"/>
    </row>
    <row r="979">
      <c r="A979" s="71"/>
      <c r="E979" s="72"/>
      <c r="F979" s="72"/>
      <c r="G979" s="72"/>
    </row>
    <row r="980">
      <c r="A980" s="71"/>
      <c r="E980" s="72"/>
      <c r="F980" s="72"/>
      <c r="G980" s="72"/>
    </row>
    <row r="981">
      <c r="A981" s="71"/>
      <c r="E981" s="72"/>
      <c r="F981" s="72"/>
      <c r="G981" s="72"/>
    </row>
    <row r="982">
      <c r="A982" s="71"/>
      <c r="E982" s="72"/>
      <c r="F982" s="72"/>
      <c r="G982" s="72"/>
    </row>
    <row r="983">
      <c r="A983" s="71"/>
      <c r="E983" s="72"/>
      <c r="F983" s="72"/>
      <c r="G983" s="72"/>
    </row>
    <row r="984">
      <c r="A984" s="71"/>
      <c r="E984" s="72"/>
      <c r="F984" s="72"/>
      <c r="G984" s="72"/>
    </row>
    <row r="985">
      <c r="A985" s="71"/>
      <c r="E985" s="72"/>
      <c r="F985" s="72"/>
      <c r="G985" s="72"/>
    </row>
    <row r="986">
      <c r="A986" s="71"/>
      <c r="E986" s="72"/>
      <c r="F986" s="72"/>
      <c r="G986" s="72"/>
    </row>
    <row r="987">
      <c r="A987" s="71"/>
      <c r="E987" s="72"/>
      <c r="F987" s="72"/>
      <c r="G987" s="72"/>
    </row>
    <row r="988">
      <c r="A988" s="71"/>
      <c r="E988" s="72"/>
      <c r="F988" s="72"/>
      <c r="G988" s="72"/>
    </row>
    <row r="989">
      <c r="A989" s="71"/>
      <c r="E989" s="72"/>
      <c r="F989" s="72"/>
      <c r="G989" s="72"/>
    </row>
    <row r="990">
      <c r="A990" s="71"/>
      <c r="E990" s="72"/>
      <c r="F990" s="72"/>
      <c r="G990" s="72"/>
    </row>
    <row r="991">
      <c r="A991" s="71"/>
      <c r="E991" s="72"/>
      <c r="F991" s="72"/>
      <c r="G991" s="72"/>
    </row>
    <row r="992">
      <c r="A992" s="71"/>
      <c r="E992" s="72"/>
      <c r="F992" s="72"/>
      <c r="G992" s="72"/>
    </row>
    <row r="993">
      <c r="A993" s="71"/>
      <c r="E993" s="72"/>
      <c r="F993" s="72"/>
      <c r="G993" s="72"/>
    </row>
    <row r="994">
      <c r="A994" s="71"/>
      <c r="E994" s="72"/>
      <c r="F994" s="72"/>
      <c r="G994" s="72"/>
    </row>
    <row r="995">
      <c r="A995" s="71"/>
      <c r="E995" s="72"/>
      <c r="F995" s="72"/>
      <c r="G995" s="72"/>
    </row>
    <row r="996">
      <c r="A996" s="71"/>
      <c r="E996" s="72"/>
      <c r="F996" s="72"/>
      <c r="G996" s="72"/>
    </row>
    <row r="997">
      <c r="A997" s="71"/>
      <c r="E997" s="72"/>
      <c r="F997" s="72"/>
      <c r="G997" s="72"/>
    </row>
    <row r="998">
      <c r="A998" s="71"/>
      <c r="E998" s="72"/>
      <c r="F998" s="72"/>
      <c r="G998" s="72"/>
    </row>
    <row r="999">
      <c r="A999" s="71"/>
      <c r="E999" s="72"/>
      <c r="F999" s="72"/>
      <c r="G999" s="72"/>
    </row>
    <row r="1000">
      <c r="A1000" s="71"/>
      <c r="E1000" s="72"/>
      <c r="F1000" s="72"/>
      <c r="G1000" s="72"/>
    </row>
  </sheetData>
  <hyperlinks>
    <hyperlink r:id="rId1" ref="C2"/>
    <hyperlink r:id="rId2" ref="C3"/>
    <hyperlink r:id="rId3" ref="C4"/>
    <hyperlink r:id="rId4" ref="C5"/>
    <hyperlink r:id="rId5" ref="C7"/>
  </hyperlinks>
  <drawing r:id="rId6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52" t="s">
        <v>47</v>
      </c>
      <c r="B1" s="52" t="s">
        <v>48</v>
      </c>
      <c r="C1" s="52"/>
      <c r="D1" s="52"/>
      <c r="E1" s="54"/>
      <c r="F1" s="54"/>
      <c r="G1" s="54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1"/>
      <c r="V1" s="51"/>
      <c r="W1" s="51"/>
      <c r="X1" s="51"/>
      <c r="Y1" s="51"/>
      <c r="Z1" s="51"/>
    </row>
    <row r="2">
      <c r="A2" s="58">
        <v>45894.0</v>
      </c>
      <c r="B2" s="57">
        <v>1.07</v>
      </c>
      <c r="C2" s="57"/>
      <c r="D2" s="57"/>
      <c r="E2" s="59"/>
      <c r="F2" s="54"/>
      <c r="G2" s="54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73"/>
      <c r="V2" s="73"/>
      <c r="W2" s="73"/>
      <c r="X2" s="73"/>
      <c r="Y2" s="73"/>
      <c r="Z2" s="73"/>
    </row>
    <row r="3">
      <c r="A3" s="66">
        <v>45895.0</v>
      </c>
      <c r="B3" s="63">
        <v>1.07</v>
      </c>
      <c r="C3" s="63"/>
      <c r="D3" s="63"/>
      <c r="E3" s="67"/>
      <c r="F3" s="61"/>
      <c r="G3" s="61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73"/>
      <c r="V3" s="73"/>
      <c r="W3" s="73"/>
      <c r="X3" s="73"/>
      <c r="Y3" s="73"/>
      <c r="Z3" s="73"/>
    </row>
    <row r="4">
      <c r="A4" s="66">
        <v>45896.0</v>
      </c>
      <c r="B4" s="63">
        <v>1.07</v>
      </c>
      <c r="C4" s="63"/>
      <c r="D4" s="63"/>
      <c r="E4" s="67"/>
      <c r="F4" s="61"/>
      <c r="G4" s="61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51"/>
      <c r="V4" s="51"/>
      <c r="W4" s="51"/>
      <c r="X4" s="51"/>
      <c r="Y4" s="51"/>
      <c r="Z4" s="51"/>
    </row>
    <row r="5">
      <c r="A5" s="66">
        <v>45897.0</v>
      </c>
      <c r="B5" s="63">
        <v>1.07</v>
      </c>
      <c r="C5" s="63"/>
      <c r="D5" s="63"/>
      <c r="E5" s="67"/>
      <c r="F5" s="61"/>
      <c r="G5" s="61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51"/>
      <c r="V5" s="51"/>
      <c r="W5" s="51"/>
      <c r="X5" s="51"/>
      <c r="Y5" s="51"/>
      <c r="Z5" s="51"/>
    </row>
    <row r="6">
      <c r="A6" s="66">
        <v>45898.0</v>
      </c>
      <c r="B6" s="63">
        <v>1.07</v>
      </c>
      <c r="C6" s="63"/>
      <c r="D6" s="63"/>
      <c r="E6" s="67"/>
      <c r="F6" s="61"/>
      <c r="G6" s="61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51"/>
      <c r="V6" s="51"/>
      <c r="W6" s="51"/>
      <c r="X6" s="51"/>
      <c r="Y6" s="51"/>
      <c r="Z6" s="51"/>
    </row>
    <row r="7">
      <c r="A7" s="66">
        <v>45899.0</v>
      </c>
      <c r="B7" s="63">
        <v>1.07</v>
      </c>
      <c r="C7" s="63"/>
      <c r="D7" s="63"/>
      <c r="E7" s="67"/>
      <c r="F7" s="61"/>
      <c r="G7" s="61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51"/>
      <c r="V7" s="51"/>
      <c r="W7" s="51"/>
      <c r="X7" s="51"/>
      <c r="Y7" s="51"/>
      <c r="Z7" s="51"/>
    </row>
    <row r="8">
      <c r="A8" s="66">
        <v>45900.0</v>
      </c>
      <c r="B8" s="63">
        <v>1.07</v>
      </c>
      <c r="C8" s="63"/>
      <c r="D8" s="63"/>
      <c r="E8" s="67"/>
      <c r="F8" s="61"/>
      <c r="G8" s="61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51"/>
      <c r="V8" s="51"/>
      <c r="W8" s="51"/>
      <c r="X8" s="51"/>
      <c r="Y8" s="51"/>
      <c r="Z8" s="51"/>
    </row>
    <row r="9">
      <c r="A9" s="66">
        <v>45901.0</v>
      </c>
      <c r="B9" s="63">
        <v>1.07</v>
      </c>
      <c r="C9" s="63"/>
      <c r="D9" s="63"/>
      <c r="E9" s="67"/>
      <c r="F9" s="6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51"/>
      <c r="V9" s="51"/>
      <c r="W9" s="51"/>
      <c r="X9" s="51"/>
      <c r="Y9" s="51"/>
      <c r="Z9" s="51"/>
    </row>
    <row r="10">
      <c r="A10" s="66">
        <v>45902.0</v>
      </c>
      <c r="B10" s="63">
        <v>1.08</v>
      </c>
      <c r="C10" s="63"/>
      <c r="D10" s="63"/>
      <c r="E10" s="67"/>
      <c r="F10" s="6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51"/>
      <c r="V10" s="51"/>
      <c r="W10" s="51"/>
      <c r="X10" s="51"/>
      <c r="Y10" s="51"/>
      <c r="Z10" s="51"/>
    </row>
    <row r="11">
      <c r="A11" s="66">
        <v>45903.0</v>
      </c>
      <c r="B11" s="63">
        <v>1.08</v>
      </c>
      <c r="C11" s="63"/>
      <c r="D11" s="63"/>
      <c r="E11" s="67"/>
      <c r="F11" s="67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51"/>
      <c r="V11" s="51"/>
      <c r="W11" s="51"/>
      <c r="X11" s="51"/>
      <c r="Y11" s="51"/>
      <c r="Z11" s="51"/>
    </row>
    <row r="12">
      <c r="A12" s="66">
        <v>45904.0</v>
      </c>
      <c r="B12" s="63">
        <v>1.08</v>
      </c>
      <c r="C12" s="63"/>
      <c r="D12" s="63"/>
      <c r="E12" s="67"/>
      <c r="F12" s="67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51"/>
      <c r="V12" s="51"/>
      <c r="W12" s="51"/>
      <c r="X12" s="51"/>
      <c r="Y12" s="51"/>
      <c r="Z12" s="51"/>
    </row>
    <row r="13">
      <c r="A13" s="66">
        <v>45905.0</v>
      </c>
      <c r="B13" s="63">
        <v>1.08</v>
      </c>
      <c r="C13" s="63"/>
      <c r="D13" s="63"/>
      <c r="E13" s="67"/>
      <c r="F13" s="67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51"/>
      <c r="V13" s="51"/>
      <c r="W13" s="51"/>
      <c r="X13" s="51"/>
      <c r="Y13" s="51"/>
      <c r="Z13" s="51"/>
    </row>
    <row r="14">
      <c r="A14" s="66">
        <v>45906.0</v>
      </c>
      <c r="B14" s="63">
        <v>1.08</v>
      </c>
      <c r="C14" s="63"/>
      <c r="D14" s="63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51"/>
      <c r="V14" s="51"/>
      <c r="W14" s="51"/>
      <c r="X14" s="51"/>
      <c r="Y14" s="51"/>
      <c r="Z14" s="51"/>
    </row>
    <row r="15">
      <c r="A15" s="66">
        <v>45907.0</v>
      </c>
      <c r="B15" s="63">
        <v>1.08</v>
      </c>
      <c r="C15" s="63"/>
      <c r="D15" s="63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51"/>
      <c r="V15" s="51"/>
      <c r="W15" s="51"/>
      <c r="X15" s="51"/>
      <c r="Y15" s="51"/>
      <c r="Z15" s="51"/>
    </row>
    <row r="16">
      <c r="A16" s="66">
        <v>45908.0</v>
      </c>
      <c r="B16" s="63">
        <v>1.09</v>
      </c>
      <c r="C16" s="63"/>
      <c r="D16" s="63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51"/>
      <c r="V16" s="51"/>
      <c r="W16" s="51"/>
      <c r="X16" s="51"/>
      <c r="Y16" s="51"/>
      <c r="Z16" s="51"/>
    </row>
    <row r="17">
      <c r="A17" s="66">
        <v>45909.0</v>
      </c>
      <c r="B17" s="63">
        <v>1.09</v>
      </c>
      <c r="C17" s="64"/>
      <c r="D17" s="64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51"/>
      <c r="V17" s="51"/>
      <c r="W17" s="51"/>
      <c r="X17" s="51"/>
      <c r="Y17" s="51"/>
      <c r="Z17" s="51"/>
    </row>
    <row r="18">
      <c r="A18" s="66">
        <v>45910.0</v>
      </c>
      <c r="B18" s="63">
        <v>1.09</v>
      </c>
      <c r="C18" s="64"/>
      <c r="D18" s="6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51"/>
      <c r="V18" s="51"/>
      <c r="W18" s="51"/>
      <c r="X18" s="51"/>
      <c r="Y18" s="51"/>
      <c r="Z18" s="51"/>
    </row>
    <row r="19">
      <c r="A19" s="66">
        <v>45911.0</v>
      </c>
      <c r="B19" s="63">
        <v>1.09</v>
      </c>
      <c r="C19" s="64"/>
      <c r="D19" s="64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51"/>
      <c r="V19" s="51"/>
      <c r="W19" s="51"/>
      <c r="X19" s="51"/>
      <c r="Y19" s="51"/>
      <c r="Z19" s="51"/>
    </row>
    <row r="20">
      <c r="A20" s="66">
        <v>45912.0</v>
      </c>
      <c r="B20" s="63">
        <v>1.09</v>
      </c>
      <c r="C20" s="64"/>
      <c r="D20" s="64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51"/>
      <c r="V20" s="51"/>
      <c r="W20" s="51"/>
      <c r="X20" s="51"/>
      <c r="Y20" s="51"/>
      <c r="Z20" s="51"/>
    </row>
    <row r="21">
      <c r="A21" s="66">
        <v>45913.0</v>
      </c>
      <c r="B21" s="63">
        <v>1.09</v>
      </c>
      <c r="C21" s="64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51"/>
      <c r="V21" s="51"/>
      <c r="W21" s="51"/>
      <c r="X21" s="51"/>
      <c r="Y21" s="51"/>
      <c r="Z21" s="51"/>
    </row>
    <row r="22">
      <c r="A22" s="66">
        <v>45914.0</v>
      </c>
      <c r="B22" s="63">
        <v>1.09</v>
      </c>
      <c r="C22" s="64"/>
      <c r="D22" s="64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51"/>
      <c r="V22" s="51"/>
      <c r="W22" s="51"/>
      <c r="X22" s="51"/>
      <c r="Y22" s="51"/>
      <c r="Z22" s="51"/>
    </row>
    <row r="23">
      <c r="A23" s="66">
        <v>45915.0</v>
      </c>
      <c r="B23" s="63">
        <v>1.09</v>
      </c>
      <c r="C23" s="64"/>
      <c r="D23" s="64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51"/>
      <c r="V23" s="51"/>
      <c r="W23" s="51"/>
      <c r="X23" s="51"/>
      <c r="Y23" s="51"/>
      <c r="Z23" s="51"/>
    </row>
    <row r="24">
      <c r="A24" s="66">
        <v>45916.0</v>
      </c>
      <c r="B24" s="63">
        <v>1.09</v>
      </c>
      <c r="C24" s="64"/>
      <c r="D24" s="64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51"/>
      <c r="V24" s="51"/>
      <c r="W24" s="51"/>
      <c r="X24" s="51"/>
      <c r="Y24" s="51"/>
      <c r="Z24" s="51"/>
    </row>
    <row r="25">
      <c r="A25" s="66">
        <v>45917.0</v>
      </c>
      <c r="B25" s="63">
        <v>1.09</v>
      </c>
      <c r="C25" s="64"/>
      <c r="D25" s="64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51"/>
      <c r="V25" s="51"/>
      <c r="W25" s="51"/>
      <c r="X25" s="51"/>
      <c r="Y25" s="51"/>
      <c r="Z25" s="51"/>
    </row>
    <row r="26">
      <c r="A26" s="66">
        <v>45918.0</v>
      </c>
      <c r="B26" s="63">
        <v>1.09</v>
      </c>
      <c r="C26" s="64"/>
      <c r="D26" s="64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51"/>
      <c r="V26" s="51"/>
      <c r="W26" s="51"/>
      <c r="X26" s="51"/>
      <c r="Y26" s="51"/>
      <c r="Z26" s="51"/>
    </row>
    <row r="27">
      <c r="A27" s="66">
        <v>45919.0</v>
      </c>
      <c r="B27" s="63">
        <v>1.09</v>
      </c>
      <c r="C27" s="64"/>
      <c r="D27" s="64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51"/>
      <c r="V27" s="51"/>
      <c r="W27" s="51"/>
      <c r="X27" s="51"/>
      <c r="Y27" s="51"/>
      <c r="Z27" s="51"/>
    </row>
    <row r="28">
      <c r="A28" s="66">
        <v>45920.0</v>
      </c>
      <c r="B28" s="63">
        <v>1.09</v>
      </c>
      <c r="C28" s="64"/>
      <c r="D28" s="64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51"/>
      <c r="V28" s="51"/>
      <c r="W28" s="51"/>
      <c r="X28" s="51"/>
      <c r="Y28" s="51"/>
      <c r="Z28" s="51"/>
    </row>
    <row r="29">
      <c r="A29" s="66">
        <v>45921.0</v>
      </c>
      <c r="B29" s="63">
        <v>1.09</v>
      </c>
      <c r="C29" s="64"/>
      <c r="D29" s="64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51"/>
      <c r="V29" s="51"/>
      <c r="W29" s="51"/>
      <c r="X29" s="51"/>
      <c r="Y29" s="51"/>
      <c r="Z29" s="51"/>
    </row>
    <row r="30">
      <c r="A30" s="66">
        <v>45922.0</v>
      </c>
      <c r="B30" s="63">
        <v>1.09</v>
      </c>
      <c r="C30" s="64"/>
      <c r="D30" s="64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51"/>
      <c r="V30" s="51"/>
      <c r="W30" s="51"/>
      <c r="X30" s="51"/>
      <c r="Y30" s="51"/>
      <c r="Z30" s="51"/>
    </row>
    <row r="31">
      <c r="A31" s="66">
        <v>45923.0</v>
      </c>
      <c r="B31" s="63">
        <v>1.1</v>
      </c>
      <c r="C31" s="64"/>
      <c r="D31" s="64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51"/>
      <c r="V31" s="51"/>
      <c r="W31" s="51"/>
      <c r="X31" s="51"/>
      <c r="Y31" s="51"/>
      <c r="Z31" s="51"/>
    </row>
    <row r="32">
      <c r="A32" s="66">
        <v>45924.0</v>
      </c>
      <c r="B32" s="63">
        <v>1.09</v>
      </c>
      <c r="C32" s="64"/>
      <c r="D32" s="64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51"/>
      <c r="V32" s="51"/>
      <c r="W32" s="51"/>
      <c r="X32" s="51"/>
      <c r="Y32" s="51"/>
      <c r="Z32" s="51"/>
    </row>
    <row r="33">
      <c r="A33" s="66">
        <v>45925.0</v>
      </c>
      <c r="B33" s="63">
        <v>1.09</v>
      </c>
      <c r="C33" s="64"/>
      <c r="D33" s="64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51"/>
      <c r="V33" s="51"/>
      <c r="W33" s="51"/>
      <c r="X33" s="51"/>
      <c r="Y33" s="51"/>
      <c r="Z33" s="51"/>
    </row>
    <row r="34">
      <c r="A34" s="66">
        <v>45926.0</v>
      </c>
      <c r="B34" s="63">
        <v>1.09</v>
      </c>
      <c r="C34" s="64"/>
      <c r="D34" s="64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51"/>
      <c r="V34" s="51"/>
      <c r="W34" s="51"/>
      <c r="X34" s="51"/>
      <c r="Y34" s="51"/>
      <c r="Z34" s="51"/>
    </row>
    <row r="35">
      <c r="A35" s="66">
        <v>45927.0</v>
      </c>
      <c r="B35" s="63">
        <v>1.09</v>
      </c>
      <c r="C35" s="64"/>
      <c r="D35" s="64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51"/>
      <c r="V35" s="51"/>
      <c r="W35" s="51"/>
      <c r="X35" s="51"/>
      <c r="Y35" s="51"/>
      <c r="Z35" s="51"/>
    </row>
    <row r="36">
      <c r="A36" s="66">
        <v>45928.0</v>
      </c>
      <c r="B36" s="63">
        <v>1.09</v>
      </c>
      <c r="C36" s="64"/>
      <c r="D36" s="64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51"/>
      <c r="V36" s="51"/>
      <c r="W36" s="51"/>
      <c r="X36" s="51"/>
      <c r="Y36" s="51"/>
      <c r="Z36" s="51"/>
    </row>
    <row r="37">
      <c r="A37" s="66">
        <v>45929.0</v>
      </c>
      <c r="B37" s="63">
        <v>1.1</v>
      </c>
      <c r="C37" s="64"/>
      <c r="D37" s="64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51"/>
      <c r="V37" s="51"/>
      <c r="W37" s="51"/>
      <c r="X37" s="51"/>
      <c r="Y37" s="51"/>
      <c r="Z37" s="51"/>
    </row>
    <row r="38">
      <c r="A38" s="66">
        <v>45930.0</v>
      </c>
      <c r="B38" s="63">
        <v>1.1</v>
      </c>
      <c r="C38" s="64"/>
      <c r="D38" s="64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51"/>
      <c r="V38" s="51"/>
      <c r="W38" s="51"/>
      <c r="X38" s="51"/>
      <c r="Y38" s="51"/>
      <c r="Z38" s="51"/>
    </row>
    <row r="39">
      <c r="A39" s="66">
        <v>45931.0</v>
      </c>
      <c r="B39" s="63">
        <v>1.1</v>
      </c>
      <c r="C39" s="64"/>
      <c r="D39" s="64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51"/>
      <c r="V39" s="51"/>
      <c r="W39" s="51"/>
      <c r="X39" s="51"/>
      <c r="Y39" s="51"/>
      <c r="Z39" s="51"/>
    </row>
    <row r="40">
      <c r="A40" s="66">
        <v>45932.0</v>
      </c>
      <c r="B40" s="63">
        <v>1.1</v>
      </c>
      <c r="C40" s="64"/>
      <c r="D40" s="64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51"/>
      <c r="V40" s="51"/>
      <c r="W40" s="51"/>
      <c r="X40" s="51"/>
      <c r="Y40" s="51"/>
      <c r="Z40" s="51"/>
    </row>
    <row r="41">
      <c r="A41" s="66">
        <v>45933.0</v>
      </c>
      <c r="B41" s="63">
        <v>1.1</v>
      </c>
      <c r="C41" s="64"/>
      <c r="D41" s="64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51"/>
      <c r="V41" s="51"/>
      <c r="W41" s="51"/>
      <c r="X41" s="51"/>
      <c r="Y41" s="51"/>
      <c r="Z41" s="51"/>
    </row>
    <row r="42">
      <c r="A42" s="66">
        <v>45934.0</v>
      </c>
      <c r="B42" s="63">
        <v>1.1</v>
      </c>
      <c r="C42" s="64"/>
      <c r="D42" s="64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51"/>
      <c r="V42" s="51"/>
      <c r="W42" s="51"/>
      <c r="X42" s="51"/>
      <c r="Y42" s="51"/>
      <c r="Z42" s="51"/>
    </row>
    <row r="43">
      <c r="A43" s="66">
        <v>45935.0</v>
      </c>
      <c r="B43" s="63">
        <v>1.1</v>
      </c>
      <c r="C43" s="64"/>
      <c r="D43" s="64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51"/>
      <c r="V43" s="51"/>
      <c r="W43" s="51"/>
      <c r="X43" s="51"/>
      <c r="Y43" s="51"/>
      <c r="Z43" s="51"/>
    </row>
    <row r="44">
      <c r="A44" s="66">
        <v>45936.0</v>
      </c>
      <c r="B44" s="63">
        <v>1.11</v>
      </c>
      <c r="C44" s="64"/>
      <c r="D44" s="64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51"/>
      <c r="V44" s="51"/>
      <c r="W44" s="51"/>
      <c r="X44" s="51"/>
      <c r="Y44" s="51"/>
      <c r="Z44" s="51"/>
    </row>
    <row r="45">
      <c r="A45" s="66">
        <v>45937.0</v>
      </c>
      <c r="B45" s="63">
        <v>1.11</v>
      </c>
      <c r="C45" s="64"/>
      <c r="D45" s="64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51"/>
      <c r="V45" s="51"/>
      <c r="W45" s="51"/>
      <c r="X45" s="51"/>
      <c r="Y45" s="51"/>
      <c r="Z45" s="51"/>
    </row>
    <row r="46">
      <c r="A46" s="66">
        <v>45938.0</v>
      </c>
      <c r="B46" s="63">
        <v>1.11</v>
      </c>
      <c r="C46" s="64"/>
      <c r="D46" s="64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51"/>
      <c r="V46" s="51"/>
      <c r="W46" s="51"/>
      <c r="X46" s="51"/>
      <c r="Y46" s="51"/>
      <c r="Z46" s="51"/>
    </row>
    <row r="47">
      <c r="A47" s="66">
        <v>45939.0</v>
      </c>
      <c r="B47" s="63">
        <v>1.11</v>
      </c>
      <c r="C47" s="64"/>
      <c r="D47" s="64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51"/>
      <c r="V47" s="51"/>
      <c r="W47" s="51"/>
      <c r="X47" s="51"/>
      <c r="Y47" s="51"/>
      <c r="Z47" s="51"/>
    </row>
    <row r="48">
      <c r="A48" s="66">
        <v>45940.0</v>
      </c>
      <c r="B48" s="63">
        <v>1.11</v>
      </c>
      <c r="C48" s="64"/>
      <c r="D48" s="64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51"/>
      <c r="V48" s="51"/>
      <c r="W48" s="51"/>
      <c r="X48" s="51"/>
      <c r="Y48" s="51"/>
      <c r="Z48" s="51"/>
    </row>
    <row r="49">
      <c r="A49" s="66">
        <v>45941.0</v>
      </c>
      <c r="B49" s="63">
        <v>1.11</v>
      </c>
      <c r="C49" s="64"/>
      <c r="D49" s="64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51"/>
      <c r="V49" s="51"/>
      <c r="W49" s="51"/>
      <c r="X49" s="51"/>
      <c r="Y49" s="51"/>
      <c r="Z49" s="51"/>
    </row>
    <row r="50">
      <c r="A50" s="66">
        <v>45942.0</v>
      </c>
      <c r="B50" s="63">
        <v>1.11</v>
      </c>
      <c r="C50" s="64"/>
      <c r="D50" s="64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51"/>
      <c r="V50" s="51"/>
      <c r="W50" s="51"/>
      <c r="X50" s="51"/>
      <c r="Y50" s="51"/>
      <c r="Z50" s="51"/>
    </row>
    <row r="51">
      <c r="A51" s="66">
        <v>45943.0</v>
      </c>
      <c r="B51" s="63">
        <v>1.12</v>
      </c>
      <c r="C51" s="64"/>
      <c r="D51" s="64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51"/>
      <c r="V51" s="51"/>
      <c r="W51" s="51"/>
      <c r="X51" s="51"/>
      <c r="Y51" s="51"/>
      <c r="Z51" s="51"/>
    </row>
    <row r="52">
      <c r="A52" s="66">
        <v>45944.0</v>
      </c>
      <c r="B52" s="63">
        <v>1.12</v>
      </c>
      <c r="C52" s="64"/>
      <c r="D52" s="64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51"/>
      <c r="V52" s="51"/>
      <c r="W52" s="51"/>
      <c r="X52" s="51"/>
      <c r="Y52" s="51"/>
      <c r="Z52" s="51"/>
    </row>
    <row r="53">
      <c r="A53" s="66">
        <v>45945.0</v>
      </c>
      <c r="B53" s="63">
        <v>1.12</v>
      </c>
      <c r="C53" s="64"/>
      <c r="D53" s="64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51"/>
      <c r="V53" s="51"/>
      <c r="W53" s="51"/>
      <c r="X53" s="51"/>
      <c r="Y53" s="51"/>
      <c r="Z53" s="51"/>
    </row>
    <row r="54">
      <c r="A54" s="66">
        <v>45946.0</v>
      </c>
      <c r="B54" s="63">
        <v>1.13</v>
      </c>
      <c r="C54" s="64"/>
      <c r="D54" s="64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51"/>
      <c r="V54" s="51"/>
      <c r="W54" s="51"/>
      <c r="X54" s="51"/>
      <c r="Y54" s="51"/>
      <c r="Z54" s="51"/>
    </row>
    <row r="55">
      <c r="A55" s="66">
        <v>45947.0</v>
      </c>
      <c r="B55" s="63">
        <v>1.12</v>
      </c>
      <c r="C55" s="64"/>
      <c r="D55" s="64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51"/>
      <c r="V55" s="51"/>
      <c r="W55" s="51"/>
      <c r="X55" s="51"/>
      <c r="Y55" s="51"/>
      <c r="Z55" s="51"/>
    </row>
    <row r="56">
      <c r="A56" s="66">
        <v>45948.0</v>
      </c>
      <c r="B56" s="63">
        <v>1.12</v>
      </c>
      <c r="C56" s="64"/>
      <c r="D56" s="64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51"/>
      <c r="V56" s="51"/>
      <c r="W56" s="51"/>
      <c r="X56" s="51"/>
      <c r="Y56" s="51"/>
      <c r="Z56" s="51"/>
    </row>
    <row r="57">
      <c r="A57" s="66">
        <v>45949.0</v>
      </c>
      <c r="B57" s="63">
        <v>1.12</v>
      </c>
      <c r="C57" s="64"/>
      <c r="D57" s="64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51"/>
      <c r="V57" s="51"/>
      <c r="W57" s="51"/>
      <c r="X57" s="51"/>
      <c r="Y57" s="51"/>
      <c r="Z57" s="51"/>
    </row>
    <row r="58">
      <c r="A58" s="66">
        <v>45950.0</v>
      </c>
      <c r="B58" s="63">
        <v>1.13</v>
      </c>
      <c r="C58" s="64"/>
      <c r="D58" s="64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51"/>
      <c r="V58" s="51"/>
      <c r="W58" s="51"/>
      <c r="X58" s="51"/>
      <c r="Y58" s="51"/>
      <c r="Z58" s="51"/>
    </row>
    <row r="59">
      <c r="A59" s="66">
        <v>45951.0</v>
      </c>
      <c r="B59" s="63">
        <v>1.12</v>
      </c>
      <c r="C59" s="64"/>
      <c r="D59" s="64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51"/>
      <c r="V59" s="51"/>
      <c r="W59" s="51"/>
      <c r="X59" s="51"/>
      <c r="Y59" s="51"/>
      <c r="Z59" s="51"/>
    </row>
    <row r="60">
      <c r="A60" s="66">
        <v>45952.0</v>
      </c>
      <c r="B60" s="63">
        <v>1.11</v>
      </c>
      <c r="C60" s="64"/>
      <c r="D60" s="64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51"/>
      <c r="V60" s="51"/>
      <c r="W60" s="51"/>
      <c r="X60" s="51"/>
      <c r="Y60" s="51"/>
      <c r="Z60" s="51"/>
    </row>
    <row r="61">
      <c r="A61" s="66">
        <v>45953.0</v>
      </c>
      <c r="B61" s="63">
        <v>1.12</v>
      </c>
      <c r="C61" s="64"/>
      <c r="D61" s="64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51"/>
      <c r="V61" s="51"/>
      <c r="W61" s="51"/>
      <c r="X61" s="51"/>
      <c r="Y61" s="51"/>
      <c r="Z61" s="51"/>
    </row>
    <row r="62">
      <c r="A62" s="66">
        <v>45954.0</v>
      </c>
      <c r="B62" s="63">
        <v>1.12</v>
      </c>
      <c r="C62" s="64"/>
      <c r="D62" s="64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51"/>
      <c r="V62" s="51"/>
      <c r="W62" s="51"/>
      <c r="X62" s="51"/>
      <c r="Y62" s="51"/>
      <c r="Z62" s="51"/>
    </row>
    <row r="63">
      <c r="A63" s="66">
        <v>45955.0</v>
      </c>
      <c r="B63" s="63">
        <v>1.12</v>
      </c>
      <c r="C63" s="64"/>
      <c r="D63" s="64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51"/>
      <c r="V63" s="51"/>
      <c r="W63" s="51"/>
      <c r="X63" s="51"/>
      <c r="Y63" s="51"/>
      <c r="Z63" s="51"/>
    </row>
    <row r="64">
      <c r="A64" s="66">
        <v>45956.0</v>
      </c>
      <c r="B64" s="63">
        <v>1.12</v>
      </c>
      <c r="C64" s="64"/>
      <c r="D64" s="64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51"/>
      <c r="V64" s="51"/>
      <c r="W64" s="51"/>
      <c r="X64" s="51"/>
      <c r="Y64" s="51"/>
      <c r="Z64" s="51"/>
    </row>
    <row r="65">
      <c r="A65" s="66">
        <v>45957.0</v>
      </c>
      <c r="B65" s="63">
        <v>1.11</v>
      </c>
      <c r="C65" s="64"/>
      <c r="D65" s="64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51"/>
      <c r="V65" s="51"/>
      <c r="W65" s="51"/>
      <c r="X65" s="51"/>
      <c r="Y65" s="51"/>
      <c r="Z65" s="51"/>
    </row>
    <row r="66">
      <c r="A66" s="66">
        <v>45958.0</v>
      </c>
      <c r="B66" s="63">
        <v>1.11</v>
      </c>
      <c r="C66" s="64"/>
      <c r="D66" s="64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51"/>
      <c r="V66" s="51"/>
      <c r="W66" s="51"/>
      <c r="X66" s="51"/>
      <c r="Y66" s="51"/>
      <c r="Z66" s="51"/>
    </row>
    <row r="67">
      <c r="A67" s="66">
        <v>45959.0</v>
      </c>
      <c r="B67" s="63">
        <v>1.11</v>
      </c>
      <c r="C67" s="64"/>
      <c r="D67" s="64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51"/>
      <c r="V67" s="51"/>
      <c r="W67" s="51"/>
      <c r="X67" s="51"/>
      <c r="Y67" s="51"/>
      <c r="Z67" s="51"/>
    </row>
    <row r="68">
      <c r="A68" s="66">
        <v>45960.0</v>
      </c>
      <c r="B68" s="63">
        <v>1.11</v>
      </c>
      <c r="C68" s="64"/>
      <c r="D68" s="64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51"/>
      <c r="V68" s="51"/>
      <c r="W68" s="51"/>
      <c r="X68" s="51"/>
      <c r="Y68" s="51"/>
      <c r="Z68" s="51"/>
    </row>
    <row r="69">
      <c r="A69" s="66">
        <v>45961.0</v>
      </c>
      <c r="B69" s="63">
        <v>1.11</v>
      </c>
      <c r="C69" s="64"/>
      <c r="D69" s="64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51"/>
      <c r="V69" s="51"/>
      <c r="W69" s="51"/>
      <c r="X69" s="51"/>
      <c r="Y69" s="51"/>
      <c r="Z69" s="51"/>
    </row>
    <row r="70">
      <c r="A70" s="66">
        <v>45962.0</v>
      </c>
      <c r="B70" s="63">
        <v>1.11</v>
      </c>
      <c r="C70" s="64"/>
      <c r="D70" s="64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51"/>
      <c r="V70" s="51"/>
      <c r="W70" s="51"/>
      <c r="X70" s="51"/>
      <c r="Y70" s="51"/>
      <c r="Z70" s="51"/>
    </row>
    <row r="71">
      <c r="A71" s="66">
        <v>45963.0</v>
      </c>
      <c r="B71" s="63">
        <v>1.11</v>
      </c>
      <c r="C71" s="64"/>
      <c r="D71" s="64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51"/>
      <c r="V71" s="51"/>
      <c r="W71" s="51"/>
      <c r="X71" s="51"/>
      <c r="Y71" s="51"/>
      <c r="Z71" s="51"/>
    </row>
    <row r="72">
      <c r="A72" s="66">
        <v>45964.0</v>
      </c>
      <c r="B72" s="63">
        <v>1.11</v>
      </c>
      <c r="C72" s="64"/>
      <c r="D72" s="64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51"/>
      <c r="V72" s="51"/>
      <c r="W72" s="51"/>
      <c r="X72" s="51"/>
      <c r="Y72" s="51"/>
      <c r="Z72" s="51"/>
    </row>
    <row r="73">
      <c r="A73" s="66">
        <v>45965.0</v>
      </c>
      <c r="B73" s="63">
        <v>1.11</v>
      </c>
      <c r="C73" s="64"/>
      <c r="D73" s="64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51"/>
      <c r="V73" s="51"/>
      <c r="W73" s="51"/>
      <c r="X73" s="51"/>
      <c r="Y73" s="51"/>
      <c r="Z73" s="51"/>
    </row>
    <row r="74">
      <c r="A74" s="66">
        <v>45966.0</v>
      </c>
      <c r="B74" s="63">
        <v>1.11</v>
      </c>
      <c r="C74" s="64"/>
      <c r="D74" s="64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51"/>
      <c r="V74" s="51"/>
      <c r="W74" s="51"/>
      <c r="X74" s="51"/>
      <c r="Y74" s="51"/>
      <c r="Z74" s="51"/>
    </row>
    <row r="75">
      <c r="A75" s="66">
        <v>45967.0</v>
      </c>
      <c r="B75" s="63">
        <v>1.11</v>
      </c>
      <c r="C75" s="64"/>
      <c r="D75" s="64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51"/>
      <c r="V75" s="51"/>
      <c r="W75" s="51"/>
      <c r="X75" s="51"/>
      <c r="Y75" s="51"/>
      <c r="Z75" s="51"/>
    </row>
    <row r="76">
      <c r="A76" s="66">
        <v>45968.0</v>
      </c>
      <c r="B76" s="63">
        <v>1.11</v>
      </c>
      <c r="C76" s="64"/>
      <c r="D76" s="64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51"/>
      <c r="V76" s="51"/>
      <c r="W76" s="51"/>
      <c r="X76" s="51"/>
      <c r="Y76" s="51"/>
      <c r="Z76" s="51"/>
    </row>
    <row r="77">
      <c r="A77" s="66">
        <v>45969.0</v>
      </c>
      <c r="B77" s="63">
        <v>1.11</v>
      </c>
      <c r="C77" s="64"/>
      <c r="D77" s="64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51"/>
      <c r="V77" s="51"/>
      <c r="W77" s="51"/>
      <c r="X77" s="51"/>
      <c r="Y77" s="51"/>
      <c r="Z77" s="51"/>
    </row>
    <row r="78">
      <c r="A78" s="66">
        <v>45970.0</v>
      </c>
      <c r="B78" s="63">
        <v>1.11</v>
      </c>
      <c r="C78" s="64"/>
      <c r="D78" s="64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51"/>
      <c r="V78" s="51"/>
      <c r="W78" s="51"/>
      <c r="X78" s="51"/>
      <c r="Y78" s="51"/>
      <c r="Z78" s="51"/>
    </row>
    <row r="79">
      <c r="A79" s="66">
        <v>45971.0</v>
      </c>
      <c r="B79" s="63">
        <v>1.12</v>
      </c>
      <c r="C79" s="64"/>
      <c r="D79" s="64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51"/>
      <c r="V79" s="51"/>
      <c r="W79" s="51"/>
      <c r="X79" s="51"/>
      <c r="Y79" s="51"/>
      <c r="Z79" s="51"/>
    </row>
    <row r="80">
      <c r="A80" s="66">
        <v>45972.0</v>
      </c>
      <c r="B80" s="63">
        <v>1.12</v>
      </c>
      <c r="C80" s="64"/>
      <c r="D80" s="64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51"/>
      <c r="V80" s="51"/>
      <c r="W80" s="51"/>
      <c r="X80" s="51"/>
      <c r="Y80" s="51"/>
      <c r="Z80" s="51"/>
    </row>
    <row r="81">
      <c r="A81" s="66">
        <v>45973.0</v>
      </c>
      <c r="B81" s="63">
        <v>1.12</v>
      </c>
      <c r="C81" s="64"/>
      <c r="D81" s="64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51"/>
      <c r="V81" s="51"/>
      <c r="W81" s="51"/>
      <c r="X81" s="51"/>
      <c r="Y81" s="51"/>
      <c r="Z81" s="51"/>
    </row>
    <row r="82">
      <c r="A82" s="66">
        <v>45974.0</v>
      </c>
      <c r="B82" s="63">
        <v>1.12</v>
      </c>
      <c r="C82" s="64"/>
      <c r="D82" s="64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51"/>
      <c r="V82" s="51"/>
      <c r="W82" s="51"/>
      <c r="X82" s="51"/>
      <c r="Y82" s="51"/>
      <c r="Z82" s="51"/>
    </row>
    <row r="83">
      <c r="A83" s="66">
        <v>45975.0</v>
      </c>
      <c r="B83" s="63">
        <v>1.12</v>
      </c>
      <c r="C83" s="64"/>
      <c r="D83" s="64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51"/>
      <c r="V83" s="51"/>
      <c r="W83" s="51"/>
      <c r="X83" s="51"/>
      <c r="Y83" s="51"/>
      <c r="Z83" s="51"/>
    </row>
    <row r="84">
      <c r="A84" s="66">
        <v>45976.0</v>
      </c>
      <c r="B84" s="63">
        <v>1.12</v>
      </c>
      <c r="C84" s="64"/>
      <c r="D84" s="64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51"/>
      <c r="V84" s="51"/>
      <c r="W84" s="51"/>
      <c r="X84" s="51"/>
      <c r="Y84" s="51"/>
      <c r="Z84" s="51"/>
    </row>
    <row r="85">
      <c r="A85" s="66">
        <v>45977.0</v>
      </c>
      <c r="B85" s="63">
        <v>1.12</v>
      </c>
      <c r="C85" s="64"/>
      <c r="D85" s="64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51"/>
      <c r="V85" s="51"/>
      <c r="W85" s="51"/>
      <c r="X85" s="51"/>
      <c r="Y85" s="51"/>
      <c r="Z85" s="51"/>
    </row>
    <row r="86">
      <c r="A86" s="66">
        <v>45978.0</v>
      </c>
      <c r="B86" s="63">
        <v>1.12</v>
      </c>
      <c r="C86" s="64"/>
      <c r="D86" s="64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51"/>
      <c r="V86" s="51"/>
      <c r="W86" s="51"/>
      <c r="X86" s="51"/>
      <c r="Y86" s="51"/>
      <c r="Z86" s="51"/>
    </row>
    <row r="87">
      <c r="A87" s="66">
        <v>45979.0</v>
      </c>
      <c r="B87" s="63">
        <v>1.11</v>
      </c>
      <c r="C87" s="64"/>
      <c r="D87" s="64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51"/>
      <c r="V87" s="51"/>
      <c r="W87" s="51"/>
      <c r="X87" s="51"/>
      <c r="Y87" s="51"/>
      <c r="Z87" s="51"/>
    </row>
    <row r="88">
      <c r="A88" s="66">
        <v>45980.0</v>
      </c>
      <c r="B88" s="63">
        <v>1.12</v>
      </c>
      <c r="C88" s="64"/>
      <c r="D88" s="64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51"/>
      <c r="V88" s="51"/>
      <c r="W88" s="51"/>
      <c r="X88" s="51"/>
      <c r="Y88" s="51"/>
      <c r="Z88" s="51"/>
    </row>
    <row r="89">
      <c r="A89" s="66">
        <v>45981.0</v>
      </c>
      <c r="B89" s="63">
        <v>1.11</v>
      </c>
      <c r="C89" s="64"/>
      <c r="D89" s="64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51"/>
      <c r="V89" s="51"/>
      <c r="W89" s="51"/>
      <c r="X89" s="51"/>
      <c r="Y89" s="51"/>
      <c r="Z89" s="51"/>
    </row>
    <row r="90">
      <c r="A90" s="66">
        <v>45982.0</v>
      </c>
      <c r="B90" s="63">
        <v>1.12</v>
      </c>
      <c r="C90" s="64"/>
      <c r="D90" s="64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51"/>
      <c r="V90" s="51"/>
      <c r="W90" s="51"/>
      <c r="X90" s="51"/>
      <c r="Y90" s="51"/>
      <c r="Z90" s="51"/>
    </row>
    <row r="91">
      <c r="A91" s="66">
        <v>45983.0</v>
      </c>
      <c r="B91" s="63">
        <v>1.12</v>
      </c>
      <c r="C91" s="64"/>
      <c r="D91" s="64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51"/>
      <c r="V91" s="51"/>
      <c r="W91" s="51"/>
      <c r="X91" s="51"/>
      <c r="Y91" s="51"/>
      <c r="Z91" s="51"/>
    </row>
    <row r="92">
      <c r="A92" s="66">
        <v>45984.0</v>
      </c>
      <c r="B92" s="63">
        <v>1.12</v>
      </c>
      <c r="C92" s="64"/>
      <c r="D92" s="64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51"/>
      <c r="V92" s="51"/>
      <c r="W92" s="51"/>
      <c r="X92" s="51"/>
      <c r="Y92" s="51"/>
      <c r="Z92" s="51"/>
    </row>
    <row r="93">
      <c r="A93" s="66">
        <v>45985.0</v>
      </c>
      <c r="B93" s="63">
        <v>1.12</v>
      </c>
      <c r="C93" s="64"/>
      <c r="D93" s="64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51"/>
      <c r="V93" s="51"/>
      <c r="W93" s="51"/>
      <c r="X93" s="51"/>
      <c r="Y93" s="51"/>
      <c r="Z93" s="51"/>
    </row>
    <row r="94">
      <c r="A94" s="66">
        <v>45986.0</v>
      </c>
      <c r="B94" s="63">
        <v>1.12</v>
      </c>
      <c r="C94" s="64"/>
      <c r="D94" s="64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51"/>
      <c r="V94" s="51"/>
      <c r="W94" s="51"/>
      <c r="X94" s="51"/>
      <c r="Y94" s="51"/>
      <c r="Z94" s="51"/>
    </row>
    <row r="95">
      <c r="A95" s="66">
        <v>45987.0</v>
      </c>
      <c r="B95" s="63">
        <v>1.12</v>
      </c>
      <c r="C95" s="64"/>
      <c r="D95" s="64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51"/>
      <c r="V95" s="51"/>
      <c r="W95" s="51"/>
      <c r="X95" s="51"/>
      <c r="Y95" s="51"/>
      <c r="Z95" s="51"/>
    </row>
    <row r="96">
      <c r="A96" s="66">
        <v>45988.0</v>
      </c>
      <c r="B96" s="63">
        <v>1.12</v>
      </c>
      <c r="C96" s="64"/>
      <c r="D96" s="64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51"/>
      <c r="V96" s="51"/>
      <c r="W96" s="51"/>
      <c r="X96" s="51"/>
      <c r="Y96" s="51"/>
      <c r="Z96" s="51"/>
    </row>
    <row r="97">
      <c r="A97" s="66">
        <v>45989.0</v>
      </c>
      <c r="B97" s="63">
        <v>1.13</v>
      </c>
      <c r="C97" s="64"/>
      <c r="D97" s="64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51"/>
      <c r="V97" s="51"/>
      <c r="W97" s="51"/>
      <c r="X97" s="51"/>
      <c r="Y97" s="51"/>
      <c r="Z97" s="51"/>
    </row>
    <row r="98">
      <c r="A98" s="66">
        <v>45990.0</v>
      </c>
      <c r="B98" s="63">
        <v>1.13</v>
      </c>
      <c r="C98" s="64"/>
      <c r="D98" s="64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51"/>
      <c r="V98" s="51"/>
      <c r="W98" s="51"/>
      <c r="X98" s="51"/>
      <c r="Y98" s="51"/>
      <c r="Z98" s="51"/>
    </row>
    <row r="99">
      <c r="A99" s="66">
        <v>45991.0</v>
      </c>
      <c r="B99" s="63">
        <v>1.13</v>
      </c>
      <c r="C99" s="64"/>
      <c r="D99" s="64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51"/>
      <c r="V99" s="51"/>
      <c r="W99" s="51"/>
      <c r="X99" s="51"/>
      <c r="Y99" s="51"/>
      <c r="Z99" s="51"/>
    </row>
    <row r="100">
      <c r="A100" s="66">
        <v>45992.0</v>
      </c>
      <c r="B100" s="63">
        <v>1.13</v>
      </c>
      <c r="C100" s="64"/>
      <c r="D100" s="64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51"/>
      <c r="V100" s="51"/>
      <c r="W100" s="51"/>
      <c r="X100" s="51"/>
      <c r="Y100" s="51"/>
      <c r="Z100" s="51"/>
    </row>
    <row r="101">
      <c r="A101" s="66">
        <v>45993.0</v>
      </c>
      <c r="B101" s="63">
        <v>1.12</v>
      </c>
      <c r="C101" s="64"/>
      <c r="D101" s="64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51"/>
      <c r="V101" s="51"/>
      <c r="W101" s="51"/>
      <c r="X101" s="51"/>
      <c r="Y101" s="51"/>
      <c r="Z101" s="51"/>
    </row>
    <row r="102">
      <c r="A102" s="66">
        <v>45994.0</v>
      </c>
      <c r="B102" s="63">
        <v>1.12</v>
      </c>
      <c r="C102" s="64"/>
      <c r="D102" s="64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51"/>
      <c r="V102" s="51"/>
      <c r="W102" s="51"/>
      <c r="X102" s="51"/>
      <c r="Y102" s="51"/>
      <c r="Z102" s="51"/>
    </row>
    <row r="103">
      <c r="A103" s="66">
        <v>45995.0</v>
      </c>
      <c r="B103" s="63">
        <v>1.12</v>
      </c>
      <c r="C103" s="64"/>
      <c r="D103" s="64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51"/>
      <c r="V103" s="51"/>
      <c r="W103" s="51"/>
      <c r="X103" s="51"/>
      <c r="Y103" s="51"/>
      <c r="Z103" s="51"/>
    </row>
    <row r="104">
      <c r="A104" s="66">
        <v>45996.0</v>
      </c>
      <c r="B104" s="63">
        <v>1.13</v>
      </c>
      <c r="C104" s="64"/>
      <c r="D104" s="64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51"/>
      <c r="V104" s="51"/>
      <c r="W104" s="51"/>
      <c r="X104" s="51"/>
      <c r="Y104" s="51"/>
      <c r="Z104" s="51"/>
    </row>
    <row r="105">
      <c r="A105" s="66">
        <v>45997.0</v>
      </c>
      <c r="B105" s="63">
        <v>1.13</v>
      </c>
      <c r="C105" s="64"/>
      <c r="D105" s="64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51"/>
      <c r="V105" s="51"/>
      <c r="W105" s="51"/>
      <c r="X105" s="51"/>
      <c r="Y105" s="51"/>
      <c r="Z105" s="51"/>
    </row>
    <row r="106">
      <c r="A106" s="66">
        <v>45998.0</v>
      </c>
      <c r="B106" s="63">
        <v>1.13</v>
      </c>
      <c r="C106" s="64"/>
      <c r="D106" s="64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51"/>
      <c r="V106" s="51"/>
      <c r="W106" s="51"/>
      <c r="X106" s="51"/>
      <c r="Y106" s="51"/>
      <c r="Z106" s="51"/>
    </row>
    <row r="107">
      <c r="A107" s="66">
        <v>45999.0</v>
      </c>
      <c r="B107" s="63">
        <v>1.13</v>
      </c>
      <c r="C107" s="64"/>
      <c r="D107" s="64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51"/>
      <c r="V107" s="51"/>
      <c r="W107" s="51"/>
      <c r="X107" s="51"/>
      <c r="Y107" s="51"/>
      <c r="Z107" s="51"/>
    </row>
    <row r="108">
      <c r="A108" s="66">
        <v>46000.0</v>
      </c>
      <c r="B108" s="63">
        <v>1.13</v>
      </c>
      <c r="C108" s="64"/>
      <c r="D108" s="64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51"/>
      <c r="V108" s="51"/>
      <c r="W108" s="51"/>
      <c r="X108" s="51"/>
      <c r="Y108" s="51"/>
      <c r="Z108" s="51"/>
    </row>
    <row r="109">
      <c r="A109" s="66">
        <v>46001.0</v>
      </c>
      <c r="B109" s="63">
        <v>1.13</v>
      </c>
      <c r="C109" s="64"/>
      <c r="D109" s="64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51"/>
      <c r="V109" s="51"/>
      <c r="W109" s="51"/>
      <c r="X109" s="51"/>
      <c r="Y109" s="51"/>
      <c r="Z109" s="51"/>
    </row>
    <row r="110">
      <c r="A110" s="66">
        <v>46002.0</v>
      </c>
      <c r="B110" s="63">
        <v>1.14</v>
      </c>
      <c r="C110" s="64"/>
      <c r="D110" s="64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51"/>
      <c r="V110" s="51"/>
      <c r="W110" s="51"/>
      <c r="X110" s="51"/>
      <c r="Y110" s="51"/>
      <c r="Z110" s="51"/>
    </row>
    <row r="111">
      <c r="A111" s="66">
        <v>46003.0</v>
      </c>
      <c r="B111" s="63">
        <v>1.15</v>
      </c>
      <c r="C111" s="64"/>
      <c r="D111" s="64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51"/>
      <c r="V111" s="51"/>
      <c r="W111" s="51"/>
      <c r="X111" s="51"/>
      <c r="Y111" s="51"/>
      <c r="Z111" s="51"/>
    </row>
    <row r="112">
      <c r="A112" s="66">
        <v>46004.0</v>
      </c>
      <c r="B112" s="63">
        <v>1.15</v>
      </c>
      <c r="C112" s="64"/>
      <c r="D112" s="64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51"/>
      <c r="V112" s="51"/>
      <c r="W112" s="51"/>
      <c r="X112" s="51"/>
      <c r="Y112" s="51"/>
      <c r="Z112" s="51"/>
    </row>
    <row r="113">
      <c r="A113" s="66">
        <v>46005.0</v>
      </c>
      <c r="B113" s="63">
        <v>1.15</v>
      </c>
      <c r="C113" s="64"/>
      <c r="D113" s="64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51"/>
      <c r="V113" s="51"/>
      <c r="W113" s="51"/>
      <c r="X113" s="51"/>
      <c r="Y113" s="51"/>
      <c r="Z113" s="51"/>
    </row>
    <row r="114">
      <c r="A114" s="66">
        <v>46006.0</v>
      </c>
      <c r="B114" s="63">
        <v>1.15</v>
      </c>
      <c r="C114" s="64"/>
      <c r="D114" s="64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51"/>
      <c r="V114" s="51"/>
      <c r="W114" s="51"/>
      <c r="X114" s="51"/>
      <c r="Y114" s="51"/>
      <c r="Z114" s="51"/>
    </row>
    <row r="115">
      <c r="A115" s="66">
        <v>46007.0</v>
      </c>
      <c r="B115" s="63">
        <v>1.16</v>
      </c>
      <c r="C115" s="64"/>
      <c r="D115" s="64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51"/>
      <c r="V115" s="51"/>
      <c r="W115" s="51"/>
      <c r="X115" s="51"/>
      <c r="Y115" s="51"/>
      <c r="Z115" s="51"/>
    </row>
    <row r="116">
      <c r="A116" s="66">
        <v>46008.0</v>
      </c>
      <c r="B116" s="63">
        <v>1.16</v>
      </c>
      <c r="C116" s="64"/>
      <c r="D116" s="64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51"/>
      <c r="V116" s="51"/>
      <c r="W116" s="51"/>
      <c r="X116" s="51"/>
      <c r="Y116" s="51"/>
      <c r="Z116" s="51"/>
    </row>
    <row r="117">
      <c r="A117" s="66">
        <v>46009.0</v>
      </c>
      <c r="B117" s="63">
        <v>1.16</v>
      </c>
      <c r="C117" s="64"/>
      <c r="D117" s="64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51"/>
      <c r="V117" s="51"/>
      <c r="W117" s="51"/>
      <c r="X117" s="51"/>
      <c r="Y117" s="51"/>
      <c r="Z117" s="51"/>
    </row>
    <row r="118">
      <c r="A118" s="66">
        <v>46010.0</v>
      </c>
      <c r="B118" s="63">
        <v>1.17</v>
      </c>
      <c r="C118" s="64"/>
      <c r="D118" s="64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51"/>
      <c r="V118" s="51"/>
      <c r="W118" s="51"/>
      <c r="X118" s="51"/>
      <c r="Y118" s="51"/>
      <c r="Z118" s="51"/>
    </row>
    <row r="119">
      <c r="A119" s="66">
        <v>46011.0</v>
      </c>
      <c r="B119" s="63">
        <v>1.17</v>
      </c>
      <c r="C119" s="64"/>
      <c r="D119" s="64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51"/>
      <c r="V119" s="51"/>
      <c r="W119" s="51"/>
      <c r="X119" s="51"/>
      <c r="Y119" s="51"/>
      <c r="Z119" s="51"/>
    </row>
    <row r="120">
      <c r="A120" s="66">
        <v>46012.0</v>
      </c>
      <c r="B120" s="63">
        <v>1.17</v>
      </c>
      <c r="C120" s="64"/>
      <c r="D120" s="64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51"/>
      <c r="V120" s="51"/>
      <c r="W120" s="51"/>
      <c r="X120" s="51"/>
      <c r="Y120" s="51"/>
      <c r="Z120" s="51"/>
    </row>
    <row r="121">
      <c r="A121" s="66">
        <v>46013.0</v>
      </c>
      <c r="B121" s="63">
        <v>1.19</v>
      </c>
      <c r="C121" s="64"/>
      <c r="D121" s="64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51"/>
      <c r="V121" s="51"/>
      <c r="W121" s="51"/>
      <c r="X121" s="51"/>
      <c r="Y121" s="51"/>
      <c r="Z121" s="51"/>
    </row>
    <row r="122">
      <c r="A122" s="66">
        <v>46014.0</v>
      </c>
      <c r="B122" s="63">
        <v>1.19</v>
      </c>
      <c r="C122" s="64"/>
      <c r="D122" s="64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51"/>
      <c r="V122" s="51"/>
      <c r="W122" s="51"/>
      <c r="X122" s="51"/>
      <c r="Y122" s="51"/>
      <c r="Z122" s="51"/>
    </row>
    <row r="123">
      <c r="A123" s="66">
        <v>46015.0</v>
      </c>
      <c r="B123" s="63">
        <v>1.2</v>
      </c>
      <c r="C123" s="64"/>
      <c r="D123" s="64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51"/>
      <c r="V123" s="51"/>
      <c r="W123" s="51"/>
      <c r="X123" s="51"/>
      <c r="Y123" s="51"/>
      <c r="Z123" s="51"/>
    </row>
    <row r="124">
      <c r="A124" s="66">
        <v>46016.0</v>
      </c>
      <c r="B124" s="63">
        <v>1.2</v>
      </c>
      <c r="C124" s="64"/>
      <c r="D124" s="64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51"/>
      <c r="V124" s="51"/>
      <c r="W124" s="51"/>
      <c r="X124" s="51"/>
      <c r="Y124" s="51"/>
      <c r="Z124" s="51"/>
    </row>
    <row r="125">
      <c r="A125" s="66">
        <v>46017.0</v>
      </c>
      <c r="B125" s="63">
        <v>1.2</v>
      </c>
      <c r="C125" s="64"/>
      <c r="D125" s="64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51"/>
      <c r="V125" s="51"/>
      <c r="W125" s="51"/>
      <c r="X125" s="51"/>
      <c r="Y125" s="51"/>
      <c r="Z125" s="51"/>
    </row>
    <row r="126">
      <c r="A126" s="66">
        <v>46018.0</v>
      </c>
      <c r="B126" s="63">
        <v>1.2</v>
      </c>
      <c r="C126" s="64"/>
      <c r="D126" s="64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51"/>
      <c r="V126" s="51"/>
      <c r="W126" s="51"/>
      <c r="X126" s="51"/>
      <c r="Y126" s="51"/>
      <c r="Z126" s="51"/>
    </row>
    <row r="127">
      <c r="A127" s="66">
        <v>46019.0</v>
      </c>
      <c r="B127" s="63">
        <v>1.2</v>
      </c>
      <c r="C127" s="64"/>
      <c r="D127" s="64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51"/>
      <c r="V127" s="51"/>
      <c r="W127" s="51"/>
      <c r="X127" s="51"/>
      <c r="Y127" s="51"/>
      <c r="Z127" s="51"/>
    </row>
    <row r="128">
      <c r="A128" s="66">
        <v>46020.0</v>
      </c>
      <c r="B128" s="63">
        <v>1.19</v>
      </c>
      <c r="C128" s="64"/>
      <c r="D128" s="64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51"/>
      <c r="V128" s="51"/>
      <c r="W128" s="51"/>
      <c r="X128" s="51"/>
      <c r="Y128" s="51"/>
      <c r="Z128" s="51"/>
    </row>
    <row r="129">
      <c r="A129" s="66">
        <v>46021.0</v>
      </c>
      <c r="B129" s="63">
        <v>1.19</v>
      </c>
      <c r="C129" s="64"/>
      <c r="D129" s="64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51"/>
      <c r="V129" s="51"/>
      <c r="W129" s="51"/>
      <c r="X129" s="51"/>
      <c r="Y129" s="51"/>
      <c r="Z129" s="51"/>
    </row>
    <row r="130">
      <c r="A130" s="66">
        <v>46022.0</v>
      </c>
      <c r="B130" s="63">
        <v>1.19</v>
      </c>
      <c r="C130" s="64"/>
      <c r="D130" s="64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51"/>
      <c r="V130" s="51"/>
      <c r="W130" s="51"/>
      <c r="X130" s="51"/>
      <c r="Y130" s="51"/>
      <c r="Z130" s="51"/>
    </row>
    <row r="131">
      <c r="A131" s="66">
        <v>46023.0</v>
      </c>
      <c r="B131" s="63">
        <v>1.19</v>
      </c>
      <c r="C131" s="64"/>
      <c r="D131" s="64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51"/>
      <c r="V131" s="51"/>
      <c r="W131" s="51"/>
      <c r="X131" s="51"/>
      <c r="Y131" s="51"/>
      <c r="Z131" s="51"/>
    </row>
    <row r="132">
      <c r="A132" s="66">
        <v>46024.0</v>
      </c>
      <c r="B132" s="63">
        <v>1.19</v>
      </c>
      <c r="C132" s="64"/>
      <c r="D132" s="64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51"/>
      <c r="V132" s="51"/>
      <c r="W132" s="51"/>
      <c r="X132" s="51"/>
      <c r="Y132" s="51"/>
      <c r="Z132" s="51"/>
    </row>
    <row r="133">
      <c r="A133" s="66">
        <v>46025.0</v>
      </c>
      <c r="B133" s="63">
        <v>1.19</v>
      </c>
      <c r="C133" s="64"/>
      <c r="D133" s="64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51"/>
      <c r="V133" s="51"/>
      <c r="W133" s="51"/>
      <c r="X133" s="51"/>
      <c r="Y133" s="51"/>
      <c r="Z133" s="51"/>
    </row>
    <row r="134">
      <c r="A134" s="66">
        <v>46026.0</v>
      </c>
      <c r="B134" s="63">
        <v>1.19</v>
      </c>
      <c r="C134" s="64"/>
      <c r="D134" s="64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51"/>
      <c r="V134" s="51"/>
      <c r="W134" s="51"/>
      <c r="X134" s="51"/>
      <c r="Y134" s="51"/>
      <c r="Z134" s="51"/>
    </row>
    <row r="135">
      <c r="A135" s="66">
        <v>46027.0</v>
      </c>
      <c r="B135" s="63">
        <v>1.2</v>
      </c>
      <c r="C135" s="64"/>
      <c r="D135" s="64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51"/>
      <c r="V135" s="51"/>
      <c r="W135" s="51"/>
      <c r="X135" s="51"/>
      <c r="Y135" s="51"/>
      <c r="Z135" s="51"/>
    </row>
    <row r="136">
      <c r="A136" s="66">
        <v>46028.0</v>
      </c>
      <c r="B136" s="63">
        <v>1.2</v>
      </c>
      <c r="C136" s="64"/>
      <c r="D136" s="64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51"/>
      <c r="V136" s="51"/>
      <c r="W136" s="51"/>
      <c r="X136" s="51"/>
      <c r="Y136" s="51"/>
      <c r="Z136" s="51"/>
    </row>
    <row r="137">
      <c r="A137" s="66">
        <v>46029.0</v>
      </c>
      <c r="B137" s="63">
        <v>1.2</v>
      </c>
      <c r="C137" s="64"/>
      <c r="D137" s="64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51"/>
      <c r="V137" s="51"/>
      <c r="W137" s="51"/>
      <c r="X137" s="51"/>
      <c r="Y137" s="51"/>
      <c r="Z137" s="51"/>
    </row>
    <row r="138">
      <c r="A138" s="66">
        <v>46030.0</v>
      </c>
      <c r="B138" s="63">
        <v>1.2</v>
      </c>
      <c r="C138" s="64"/>
      <c r="D138" s="64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51"/>
      <c r="V138" s="51"/>
      <c r="W138" s="51"/>
      <c r="X138" s="51"/>
      <c r="Y138" s="51"/>
      <c r="Z138" s="51"/>
    </row>
    <row r="139">
      <c r="A139" s="66">
        <v>46031.0</v>
      </c>
      <c r="B139" s="63">
        <v>1.2</v>
      </c>
      <c r="C139" s="64"/>
      <c r="D139" s="64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51"/>
      <c r="V139" s="51"/>
      <c r="W139" s="51"/>
      <c r="X139" s="51"/>
      <c r="Y139" s="51"/>
      <c r="Z139" s="51"/>
    </row>
    <row r="140">
      <c r="A140" s="66">
        <v>46032.0</v>
      </c>
      <c r="B140" s="63">
        <v>1.2</v>
      </c>
      <c r="C140" s="64"/>
      <c r="D140" s="64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51"/>
      <c r="V140" s="51"/>
      <c r="W140" s="51"/>
      <c r="X140" s="51"/>
      <c r="Y140" s="51"/>
      <c r="Z140" s="51"/>
    </row>
    <row r="141">
      <c r="A141" s="66">
        <v>46033.0</v>
      </c>
      <c r="B141" s="63">
        <v>1.2</v>
      </c>
      <c r="C141" s="64"/>
      <c r="D141" s="64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51"/>
      <c r="V141" s="51"/>
      <c r="W141" s="51"/>
      <c r="X141" s="51"/>
      <c r="Y141" s="51"/>
      <c r="Z141" s="51"/>
    </row>
    <row r="142">
      <c r="A142" s="66">
        <v>46034.0</v>
      </c>
      <c r="B142" s="63">
        <v>1.21</v>
      </c>
      <c r="C142" s="64"/>
      <c r="D142" s="64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51"/>
      <c r="V142" s="51"/>
      <c r="W142" s="51"/>
      <c r="X142" s="51"/>
      <c r="Y142" s="51"/>
      <c r="Z142" s="51"/>
    </row>
    <row r="143">
      <c r="A143" s="66">
        <v>46035.0</v>
      </c>
      <c r="B143" s="63">
        <v>1.21</v>
      </c>
      <c r="C143" s="64"/>
      <c r="D143" s="64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51"/>
      <c r="V143" s="51"/>
      <c r="W143" s="51"/>
      <c r="X143" s="51"/>
      <c r="Y143" s="51"/>
      <c r="Z143" s="51"/>
    </row>
    <row r="144">
      <c r="A144" s="66">
        <v>46036.0</v>
      </c>
      <c r="B144" s="63">
        <v>1.21</v>
      </c>
      <c r="C144" s="64"/>
      <c r="D144" s="64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51"/>
      <c r="V144" s="51"/>
      <c r="W144" s="51"/>
      <c r="X144" s="51"/>
      <c r="Y144" s="51"/>
      <c r="Z144" s="51"/>
    </row>
    <row r="145">
      <c r="A145" s="66">
        <v>46037.0</v>
      </c>
      <c r="B145" s="63">
        <v>1.21</v>
      </c>
      <c r="C145" s="64"/>
      <c r="D145" s="64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51"/>
      <c r="V145" s="51"/>
      <c r="W145" s="51"/>
      <c r="X145" s="51"/>
      <c r="Y145" s="51"/>
      <c r="Z145" s="51"/>
    </row>
    <row r="146">
      <c r="A146" s="66">
        <v>46038.0</v>
      </c>
      <c r="B146" s="63">
        <v>1.21</v>
      </c>
      <c r="C146" s="64"/>
      <c r="D146" s="64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51"/>
      <c r="V146" s="51"/>
      <c r="W146" s="51"/>
      <c r="X146" s="51"/>
      <c r="Y146" s="51"/>
      <c r="Z146" s="51"/>
    </row>
    <row r="147">
      <c r="A147" s="66">
        <v>46039.0</v>
      </c>
      <c r="B147" s="63">
        <v>1.21</v>
      </c>
      <c r="C147" s="64"/>
      <c r="D147" s="64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51"/>
      <c r="V147" s="51"/>
      <c r="W147" s="51"/>
      <c r="X147" s="51"/>
      <c r="Y147" s="51"/>
      <c r="Z147" s="51"/>
    </row>
    <row r="148">
      <c r="A148" s="66">
        <v>46040.0</v>
      </c>
      <c r="B148" s="63">
        <v>1.21</v>
      </c>
      <c r="C148" s="64"/>
      <c r="D148" s="64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51"/>
      <c r="V148" s="51"/>
      <c r="W148" s="51"/>
      <c r="X148" s="51"/>
      <c r="Y148" s="51"/>
      <c r="Z148" s="51"/>
    </row>
    <row r="149">
      <c r="A149" s="66">
        <v>46041.0</v>
      </c>
      <c r="B149" s="63">
        <v>1.21</v>
      </c>
      <c r="C149" s="64"/>
      <c r="D149" s="64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51"/>
      <c r="V149" s="51"/>
      <c r="W149" s="51"/>
      <c r="X149" s="51"/>
      <c r="Y149" s="51"/>
      <c r="Z149" s="51"/>
    </row>
    <row r="150">
      <c r="A150" s="66">
        <v>46042.0</v>
      </c>
      <c r="B150" s="63">
        <v>1.21</v>
      </c>
      <c r="C150" s="64"/>
      <c r="D150" s="64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51"/>
      <c r="V150" s="51"/>
      <c r="W150" s="51"/>
      <c r="X150" s="51"/>
      <c r="Y150" s="51"/>
      <c r="Z150" s="51"/>
    </row>
    <row r="151">
      <c r="A151" s="66">
        <v>46043.0</v>
      </c>
      <c r="B151" s="63">
        <v>1.22</v>
      </c>
      <c r="C151" s="64"/>
      <c r="D151" s="64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51"/>
      <c r="V151" s="51"/>
      <c r="W151" s="51"/>
      <c r="X151" s="51"/>
      <c r="Y151" s="51"/>
      <c r="Z151" s="51"/>
    </row>
    <row r="152">
      <c r="A152" s="66">
        <v>46044.0</v>
      </c>
      <c r="B152" s="63">
        <v>1.23</v>
      </c>
      <c r="C152" s="64"/>
      <c r="D152" s="64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51"/>
      <c r="V152" s="51"/>
      <c r="W152" s="51"/>
      <c r="X152" s="51"/>
      <c r="Y152" s="51"/>
      <c r="Z152" s="51"/>
    </row>
    <row r="153">
      <c r="A153" s="66">
        <v>46045.0</v>
      </c>
      <c r="B153" s="63">
        <v>1.24</v>
      </c>
      <c r="C153" s="64"/>
      <c r="D153" s="64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51"/>
      <c r="V153" s="51"/>
      <c r="W153" s="51"/>
      <c r="X153" s="51"/>
      <c r="Y153" s="51"/>
      <c r="Z153" s="51"/>
    </row>
    <row r="154">
      <c r="A154" s="66">
        <v>46046.0</v>
      </c>
      <c r="B154" s="63">
        <v>1.24</v>
      </c>
      <c r="C154" s="64"/>
      <c r="D154" s="64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51"/>
      <c r="V154" s="51"/>
      <c r="W154" s="51"/>
      <c r="X154" s="51"/>
      <c r="Y154" s="51"/>
      <c r="Z154" s="51"/>
    </row>
    <row r="155">
      <c r="A155" s="66">
        <v>46047.0</v>
      </c>
      <c r="B155" s="63">
        <v>1.24</v>
      </c>
      <c r="C155" s="64"/>
      <c r="D155" s="64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51"/>
      <c r="V155" s="51"/>
      <c r="W155" s="51"/>
      <c r="X155" s="51"/>
      <c r="Y155" s="51"/>
      <c r="Z155" s="51"/>
    </row>
    <row r="156">
      <c r="A156" s="66">
        <v>46048.0</v>
      </c>
      <c r="B156" s="63">
        <v>1.24</v>
      </c>
      <c r="C156" s="64"/>
      <c r="D156" s="64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51"/>
      <c r="V156" s="51"/>
      <c r="W156" s="51"/>
      <c r="X156" s="51"/>
      <c r="Y156" s="51"/>
      <c r="Z156" s="51"/>
    </row>
    <row r="157">
      <c r="A157" s="66">
        <v>46049.0</v>
      </c>
      <c r="B157" s="63">
        <v>1.24</v>
      </c>
      <c r="C157" s="64"/>
      <c r="D157" s="64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51"/>
      <c r="V157" s="51"/>
      <c r="W157" s="51"/>
      <c r="X157" s="51"/>
      <c r="Y157" s="51"/>
      <c r="Z157" s="51"/>
    </row>
    <row r="158">
      <c r="A158" s="66">
        <v>46050.0</v>
      </c>
      <c r="B158" s="63">
        <v>1.26</v>
      </c>
      <c r="C158" s="64"/>
      <c r="D158" s="64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51"/>
      <c r="V158" s="51"/>
      <c r="W158" s="51"/>
      <c r="X158" s="51"/>
      <c r="Y158" s="51"/>
      <c r="Z158" s="51"/>
    </row>
    <row r="159">
      <c r="A159" s="66">
        <v>46051.0</v>
      </c>
      <c r="B159" s="63">
        <v>1.26</v>
      </c>
      <c r="C159" s="64"/>
      <c r="D159" s="64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51"/>
      <c r="V159" s="51"/>
      <c r="W159" s="51"/>
      <c r="X159" s="51"/>
      <c r="Y159" s="51"/>
      <c r="Z159" s="51"/>
    </row>
    <row r="160">
      <c r="A160" s="66">
        <v>46052.0</v>
      </c>
      <c r="B160" s="63">
        <v>1.22</v>
      </c>
      <c r="C160" s="64"/>
      <c r="D160" s="64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51"/>
      <c r="V160" s="51"/>
      <c r="W160" s="51"/>
      <c r="X160" s="51"/>
      <c r="Y160" s="51"/>
      <c r="Z160" s="51"/>
    </row>
    <row r="161">
      <c r="A161" s="66">
        <v>46053.0</v>
      </c>
      <c r="B161" s="63">
        <v>1.22</v>
      </c>
      <c r="C161" s="64"/>
      <c r="D161" s="64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51"/>
      <c r="V161" s="51"/>
      <c r="W161" s="51"/>
      <c r="X161" s="51"/>
      <c r="Y161" s="51"/>
      <c r="Z161" s="51"/>
    </row>
    <row r="162">
      <c r="A162" s="66">
        <v>46054.0</v>
      </c>
      <c r="B162" s="63">
        <v>1.22</v>
      </c>
      <c r="C162" s="64"/>
      <c r="D162" s="64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51"/>
      <c r="V162" s="51"/>
      <c r="W162" s="51"/>
      <c r="X162" s="51"/>
      <c r="Y162" s="51"/>
      <c r="Z162" s="51"/>
    </row>
    <row r="163">
      <c r="A163" s="66">
        <v>46055.0</v>
      </c>
      <c r="B163" s="63">
        <v>1.21</v>
      </c>
      <c r="C163" s="64"/>
      <c r="D163" s="64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51"/>
      <c r="V163" s="51"/>
      <c r="W163" s="51"/>
      <c r="X163" s="51"/>
      <c r="Y163" s="51"/>
      <c r="Z163" s="51"/>
    </row>
    <row r="164">
      <c r="A164" s="66">
        <v>46056.0</v>
      </c>
      <c r="B164" s="63">
        <v>1.22</v>
      </c>
      <c r="C164" s="64"/>
      <c r="D164" s="64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51"/>
      <c r="V164" s="51"/>
      <c r="W164" s="51"/>
      <c r="X164" s="51"/>
      <c r="Y164" s="51"/>
      <c r="Z164" s="51"/>
    </row>
    <row r="165">
      <c r="A165" s="66">
        <v>46057.0</v>
      </c>
      <c r="B165" s="63">
        <v>1.21</v>
      </c>
      <c r="C165" s="64"/>
      <c r="D165" s="64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51"/>
      <c r="V165" s="51"/>
      <c r="W165" s="51"/>
      <c r="X165" s="51"/>
      <c r="Y165" s="51"/>
      <c r="Z165" s="51"/>
    </row>
    <row r="166">
      <c r="A166" s="66">
        <v>46058.0</v>
      </c>
      <c r="B166" s="63">
        <v>1.2</v>
      </c>
      <c r="C166" s="64"/>
      <c r="D166" s="64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51"/>
      <c r="V166" s="51"/>
      <c r="W166" s="51"/>
      <c r="X166" s="51"/>
      <c r="Y166" s="51"/>
      <c r="Z166" s="51"/>
    </row>
    <row r="167">
      <c r="A167" s="66">
        <v>46059.0</v>
      </c>
      <c r="B167" s="63">
        <v>1.22</v>
      </c>
      <c r="C167" s="64"/>
      <c r="D167" s="64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51"/>
      <c r="V167" s="51"/>
      <c r="W167" s="51"/>
      <c r="X167" s="51"/>
      <c r="Y167" s="51"/>
      <c r="Z167" s="51"/>
    </row>
    <row r="168">
      <c r="A168" s="66">
        <v>46060.0</v>
      </c>
      <c r="B168" s="63">
        <v>1.22</v>
      </c>
      <c r="C168" s="64"/>
      <c r="D168" s="64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51"/>
      <c r="V168" s="51"/>
      <c r="W168" s="51"/>
      <c r="X168" s="51"/>
      <c r="Y168" s="51"/>
      <c r="Z168" s="51"/>
    </row>
    <row r="169">
      <c r="A169" s="66">
        <v>46061.0</v>
      </c>
      <c r="B169" s="63">
        <v>1.22</v>
      </c>
      <c r="C169" s="64"/>
      <c r="D169" s="64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51"/>
      <c r="V169" s="51"/>
      <c r="W169" s="51"/>
      <c r="X169" s="51"/>
      <c r="Y169" s="51"/>
      <c r="Z169" s="51"/>
    </row>
    <row r="170">
      <c r="A170" s="66">
        <v>46062.0</v>
      </c>
      <c r="B170" s="63">
        <v>1.23</v>
      </c>
      <c r="C170" s="64"/>
      <c r="D170" s="64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51"/>
      <c r="V170" s="51"/>
      <c r="W170" s="51"/>
      <c r="X170" s="51"/>
      <c r="Y170" s="51"/>
      <c r="Z170" s="51"/>
    </row>
    <row r="171">
      <c r="A171" s="66">
        <v>46063.0</v>
      </c>
      <c r="B171" s="63">
        <v>1.23</v>
      </c>
      <c r="C171" s="64"/>
      <c r="D171" s="64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51"/>
      <c r="V171" s="51"/>
      <c r="W171" s="51"/>
      <c r="X171" s="51"/>
      <c r="Y171" s="51"/>
      <c r="Z171" s="51"/>
    </row>
    <row r="172">
      <c r="A172" s="66">
        <v>46064.0</v>
      </c>
      <c r="B172" s="63">
        <v>1.24</v>
      </c>
      <c r="C172" s="64"/>
      <c r="D172" s="64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51"/>
      <c r="V172" s="51"/>
      <c r="W172" s="51"/>
      <c r="X172" s="51"/>
      <c r="Y172" s="51"/>
      <c r="Z172" s="51"/>
    </row>
    <row r="173">
      <c r="A173" s="66">
        <v>46065.0</v>
      </c>
      <c r="B173" s="63">
        <v>1.22</v>
      </c>
      <c r="C173" s="64"/>
      <c r="D173" s="64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51"/>
      <c r="V173" s="51"/>
      <c r="W173" s="51"/>
      <c r="X173" s="51"/>
      <c r="Y173" s="51"/>
      <c r="Z173" s="51"/>
    </row>
    <row r="174">
      <c r="A174" s="66">
        <v>46066.0</v>
      </c>
      <c r="B174" s="63">
        <v>1.22</v>
      </c>
      <c r="C174" s="64"/>
      <c r="D174" s="64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51"/>
      <c r="V174" s="51"/>
      <c r="W174" s="51"/>
      <c r="X174" s="51"/>
      <c r="Y174" s="51"/>
      <c r="Z174" s="51"/>
    </row>
    <row r="175">
      <c r="A175" s="66">
        <v>46067.0</v>
      </c>
      <c r="B175" s="63">
        <v>1.22</v>
      </c>
      <c r="C175" s="64"/>
      <c r="D175" s="64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51"/>
      <c r="V175" s="51"/>
      <c r="W175" s="51"/>
      <c r="X175" s="51"/>
      <c r="Y175" s="51"/>
      <c r="Z175" s="51"/>
    </row>
    <row r="176">
      <c r="A176" s="66">
        <v>46068.0</v>
      </c>
      <c r="B176" s="63">
        <v>1.22</v>
      </c>
      <c r="C176" s="64"/>
      <c r="D176" s="64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51"/>
      <c r="V176" s="51"/>
      <c r="W176" s="51"/>
      <c r="X176" s="51"/>
      <c r="Y176" s="51"/>
      <c r="Z176" s="51"/>
    </row>
    <row r="177">
      <c r="A177" s="66">
        <v>46069.0</v>
      </c>
      <c r="B177" s="63">
        <v>1.22</v>
      </c>
      <c r="C177" s="64"/>
      <c r="D177" s="64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51"/>
      <c r="V177" s="51"/>
      <c r="W177" s="51"/>
      <c r="X177" s="51"/>
      <c r="Y177" s="51"/>
      <c r="Z177" s="51"/>
    </row>
    <row r="178">
      <c r="A178" s="66">
        <v>46070.0</v>
      </c>
      <c r="B178" s="63">
        <v>1.21</v>
      </c>
      <c r="C178" s="64"/>
      <c r="D178" s="64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51"/>
      <c r="V178" s="51"/>
      <c r="W178" s="51"/>
      <c r="X178" s="51"/>
      <c r="Y178" s="51"/>
      <c r="Z178" s="51"/>
    </row>
    <row r="179">
      <c r="A179" s="66">
        <v>46071.0</v>
      </c>
      <c r="B179" s="63">
        <v>1.22</v>
      </c>
      <c r="C179" s="64"/>
      <c r="D179" s="64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51"/>
      <c r="V179" s="51"/>
      <c r="W179" s="51"/>
      <c r="X179" s="51"/>
      <c r="Y179" s="51"/>
      <c r="Z179" s="51"/>
    </row>
    <row r="180">
      <c r="A180" s="66">
        <v>46072.0</v>
      </c>
      <c r="B180" s="63">
        <v>1.25</v>
      </c>
      <c r="C180" s="64"/>
      <c r="D180" s="64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51"/>
      <c r="V180" s="51"/>
      <c r="W180" s="51"/>
      <c r="X180" s="51"/>
      <c r="Y180" s="51"/>
      <c r="Z180" s="51"/>
    </row>
    <row r="181">
      <c r="A181" s="66">
        <v>46073.0</v>
      </c>
      <c r="B181" s="63">
        <v>1.26</v>
      </c>
      <c r="C181" s="64"/>
      <c r="D181" s="64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51"/>
      <c r="V181" s="51"/>
      <c r="W181" s="51"/>
      <c r="X181" s="51"/>
      <c r="Y181" s="51"/>
      <c r="Z181" s="51"/>
    </row>
    <row r="182">
      <c r="A182" s="66">
        <v>46074.0</v>
      </c>
      <c r="B182" s="63">
        <v>1.26</v>
      </c>
      <c r="C182" s="64"/>
      <c r="D182" s="64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51"/>
      <c r="V182" s="51"/>
      <c r="W182" s="51"/>
      <c r="X182" s="51"/>
      <c r="Y182" s="51"/>
      <c r="Z182" s="51"/>
    </row>
    <row r="183">
      <c r="A183" s="66">
        <v>46075.0</v>
      </c>
      <c r="B183" s="63">
        <v>1.27</v>
      </c>
      <c r="C183" s="64"/>
      <c r="D183" s="64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51"/>
      <c r="V183" s="51"/>
      <c r="W183" s="51"/>
      <c r="X183" s="51"/>
      <c r="Y183" s="51"/>
      <c r="Z183" s="51"/>
    </row>
    <row r="184">
      <c r="A184" s="66">
        <v>46076.0</v>
      </c>
      <c r="B184" s="63">
        <v>1.27</v>
      </c>
      <c r="C184" s="64"/>
      <c r="D184" s="64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51"/>
      <c r="V184" s="51"/>
      <c r="W184" s="51"/>
      <c r="X184" s="51"/>
      <c r="Y184" s="51"/>
      <c r="Z184" s="51"/>
    </row>
    <row r="185">
      <c r="A185" s="65"/>
      <c r="B185" s="64"/>
      <c r="C185" s="64"/>
      <c r="D185" s="64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51"/>
      <c r="V185" s="51"/>
      <c r="W185" s="51"/>
      <c r="X185" s="51"/>
      <c r="Y185" s="51"/>
      <c r="Z185" s="51"/>
    </row>
    <row r="186">
      <c r="A186" s="65"/>
      <c r="B186" s="64"/>
      <c r="C186" s="64"/>
      <c r="D186" s="64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51"/>
      <c r="V186" s="51"/>
      <c r="W186" s="51"/>
      <c r="X186" s="51"/>
      <c r="Y186" s="51"/>
      <c r="Z186" s="51"/>
    </row>
    <row r="187">
      <c r="A187" s="65"/>
      <c r="B187" s="64"/>
      <c r="C187" s="64"/>
      <c r="D187" s="64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51"/>
      <c r="V187" s="51"/>
      <c r="W187" s="51"/>
      <c r="X187" s="51"/>
      <c r="Y187" s="51"/>
      <c r="Z187" s="51"/>
    </row>
    <row r="188">
      <c r="A188" s="65"/>
      <c r="B188" s="64"/>
      <c r="C188" s="64"/>
      <c r="D188" s="64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51"/>
      <c r="V188" s="51"/>
      <c r="W188" s="51"/>
      <c r="X188" s="51"/>
      <c r="Y188" s="51"/>
      <c r="Z188" s="51"/>
    </row>
    <row r="189">
      <c r="A189" s="65"/>
      <c r="B189" s="64"/>
      <c r="C189" s="64"/>
      <c r="D189" s="64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51"/>
      <c r="V189" s="51"/>
      <c r="W189" s="51"/>
      <c r="X189" s="51"/>
      <c r="Y189" s="51"/>
      <c r="Z189" s="51"/>
    </row>
    <row r="190">
      <c r="A190" s="65"/>
      <c r="B190" s="64"/>
      <c r="C190" s="64"/>
      <c r="D190" s="64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51"/>
      <c r="V190" s="51"/>
      <c r="W190" s="51"/>
      <c r="X190" s="51"/>
      <c r="Y190" s="51"/>
      <c r="Z190" s="51"/>
    </row>
    <row r="191">
      <c r="A191" s="65"/>
      <c r="B191" s="64"/>
      <c r="C191" s="64"/>
      <c r="D191" s="64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51"/>
      <c r="V191" s="51"/>
      <c r="W191" s="51"/>
      <c r="X191" s="51"/>
      <c r="Y191" s="51"/>
      <c r="Z191" s="51"/>
    </row>
    <row r="192">
      <c r="A192" s="65"/>
      <c r="B192" s="64"/>
      <c r="C192" s="64"/>
      <c r="D192" s="64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51"/>
      <c r="V192" s="51"/>
      <c r="W192" s="51"/>
      <c r="X192" s="51"/>
      <c r="Y192" s="51"/>
      <c r="Z192" s="51"/>
    </row>
    <row r="193">
      <c r="A193" s="65"/>
      <c r="B193" s="64"/>
      <c r="C193" s="64"/>
      <c r="D193" s="64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51"/>
      <c r="V193" s="51"/>
      <c r="W193" s="51"/>
      <c r="X193" s="51"/>
      <c r="Y193" s="51"/>
      <c r="Z193" s="51"/>
    </row>
    <row r="194">
      <c r="A194" s="65"/>
      <c r="B194" s="64"/>
      <c r="C194" s="64"/>
      <c r="D194" s="64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51"/>
      <c r="V194" s="51"/>
      <c r="W194" s="51"/>
      <c r="X194" s="51"/>
      <c r="Y194" s="51"/>
      <c r="Z194" s="51"/>
    </row>
    <row r="195">
      <c r="A195" s="65"/>
      <c r="B195" s="64"/>
      <c r="C195" s="64"/>
      <c r="D195" s="64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51"/>
      <c r="V195" s="51"/>
      <c r="W195" s="51"/>
      <c r="X195" s="51"/>
      <c r="Y195" s="51"/>
      <c r="Z195" s="51"/>
    </row>
    <row r="196">
      <c r="A196" s="65"/>
      <c r="B196" s="64"/>
      <c r="C196" s="64"/>
      <c r="D196" s="64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51"/>
      <c r="V196" s="51"/>
      <c r="W196" s="51"/>
      <c r="X196" s="51"/>
      <c r="Y196" s="51"/>
      <c r="Z196" s="51"/>
    </row>
    <row r="197">
      <c r="A197" s="65"/>
      <c r="B197" s="64"/>
      <c r="C197" s="64"/>
      <c r="D197" s="64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51"/>
      <c r="V197" s="51"/>
      <c r="W197" s="51"/>
      <c r="X197" s="51"/>
      <c r="Y197" s="51"/>
      <c r="Z197" s="51"/>
    </row>
    <row r="198">
      <c r="A198" s="65"/>
      <c r="B198" s="64"/>
      <c r="C198" s="64"/>
      <c r="D198" s="64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51"/>
      <c r="V198" s="51"/>
      <c r="W198" s="51"/>
      <c r="X198" s="51"/>
      <c r="Y198" s="51"/>
      <c r="Z198" s="51"/>
    </row>
    <row r="199">
      <c r="A199" s="65"/>
      <c r="B199" s="64"/>
      <c r="C199" s="64"/>
      <c r="D199" s="64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51"/>
      <c r="V199" s="51"/>
      <c r="W199" s="51"/>
      <c r="X199" s="51"/>
      <c r="Y199" s="51"/>
      <c r="Z199" s="51"/>
    </row>
    <row r="200">
      <c r="A200" s="65"/>
      <c r="B200" s="64"/>
      <c r="C200" s="64"/>
      <c r="D200" s="64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51"/>
      <c r="V200" s="51"/>
      <c r="W200" s="51"/>
      <c r="X200" s="51"/>
      <c r="Y200" s="51"/>
      <c r="Z200" s="51"/>
    </row>
    <row r="201">
      <c r="A201" s="65"/>
      <c r="B201" s="64"/>
      <c r="C201" s="64"/>
      <c r="D201" s="64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51"/>
      <c r="V201" s="51"/>
      <c r="W201" s="51"/>
      <c r="X201" s="51"/>
      <c r="Y201" s="51"/>
      <c r="Z201" s="51"/>
    </row>
    <row r="202">
      <c r="A202" s="65"/>
      <c r="B202" s="64"/>
      <c r="C202" s="64"/>
      <c r="D202" s="64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51"/>
      <c r="V202" s="51"/>
      <c r="W202" s="51"/>
      <c r="X202" s="51"/>
      <c r="Y202" s="51"/>
      <c r="Z202" s="51"/>
    </row>
    <row r="203">
      <c r="A203" s="65"/>
      <c r="B203" s="64"/>
      <c r="C203" s="64"/>
      <c r="D203" s="64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51"/>
      <c r="V203" s="51"/>
      <c r="W203" s="51"/>
      <c r="X203" s="51"/>
      <c r="Y203" s="51"/>
      <c r="Z203" s="51"/>
    </row>
    <row r="204">
      <c r="A204" s="65"/>
      <c r="B204" s="64"/>
      <c r="C204" s="64"/>
      <c r="D204" s="64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51"/>
      <c r="V204" s="51"/>
      <c r="W204" s="51"/>
      <c r="X204" s="51"/>
      <c r="Y204" s="51"/>
      <c r="Z204" s="51"/>
    </row>
    <row r="205">
      <c r="A205" s="65"/>
      <c r="B205" s="64"/>
      <c r="C205" s="64"/>
      <c r="D205" s="64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51"/>
      <c r="V205" s="51"/>
      <c r="W205" s="51"/>
      <c r="X205" s="51"/>
      <c r="Y205" s="51"/>
      <c r="Z205" s="51"/>
    </row>
    <row r="206">
      <c r="A206" s="65"/>
      <c r="B206" s="64"/>
      <c r="C206" s="64"/>
      <c r="D206" s="64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51"/>
      <c r="V206" s="51"/>
      <c r="W206" s="51"/>
      <c r="X206" s="51"/>
      <c r="Y206" s="51"/>
      <c r="Z206" s="51"/>
    </row>
    <row r="207">
      <c r="A207" s="65"/>
      <c r="B207" s="64"/>
      <c r="C207" s="64"/>
      <c r="D207" s="64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51"/>
      <c r="V207" s="51"/>
      <c r="W207" s="51"/>
      <c r="X207" s="51"/>
      <c r="Y207" s="51"/>
      <c r="Z207" s="51"/>
    </row>
    <row r="208">
      <c r="A208" s="65"/>
      <c r="B208" s="64"/>
      <c r="C208" s="64"/>
      <c r="D208" s="64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51"/>
      <c r="V208" s="51"/>
      <c r="W208" s="51"/>
      <c r="X208" s="51"/>
      <c r="Y208" s="51"/>
      <c r="Z208" s="51"/>
    </row>
    <row r="209">
      <c r="A209" s="65"/>
      <c r="B209" s="64"/>
      <c r="C209" s="64"/>
      <c r="D209" s="64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51"/>
      <c r="V209" s="51"/>
      <c r="W209" s="51"/>
      <c r="X209" s="51"/>
      <c r="Y209" s="51"/>
      <c r="Z209" s="51"/>
    </row>
    <row r="210">
      <c r="A210" s="65"/>
      <c r="B210" s="64"/>
      <c r="C210" s="64"/>
      <c r="D210" s="64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51"/>
      <c r="V210" s="51"/>
      <c r="W210" s="51"/>
      <c r="X210" s="51"/>
      <c r="Y210" s="51"/>
      <c r="Z210" s="51"/>
    </row>
    <row r="211">
      <c r="A211" s="65"/>
      <c r="B211" s="64"/>
      <c r="C211" s="64"/>
      <c r="D211" s="64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51"/>
      <c r="V211" s="51"/>
      <c r="W211" s="51"/>
      <c r="X211" s="51"/>
      <c r="Y211" s="51"/>
      <c r="Z211" s="51"/>
    </row>
    <row r="212">
      <c r="A212" s="65"/>
      <c r="B212" s="64"/>
      <c r="C212" s="64"/>
      <c r="D212" s="64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51"/>
      <c r="V212" s="51"/>
      <c r="W212" s="51"/>
      <c r="X212" s="51"/>
      <c r="Y212" s="51"/>
      <c r="Z212" s="51"/>
    </row>
    <row r="213">
      <c r="A213" s="65"/>
      <c r="B213" s="64"/>
      <c r="C213" s="64"/>
      <c r="D213" s="64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51"/>
      <c r="V213" s="51"/>
      <c r="W213" s="51"/>
      <c r="X213" s="51"/>
      <c r="Y213" s="51"/>
      <c r="Z213" s="51"/>
    </row>
    <row r="214">
      <c r="A214" s="65"/>
      <c r="B214" s="64"/>
      <c r="C214" s="64"/>
      <c r="D214" s="64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51"/>
      <c r="V214" s="51"/>
      <c r="W214" s="51"/>
      <c r="X214" s="51"/>
      <c r="Y214" s="51"/>
      <c r="Z214" s="51"/>
    </row>
    <row r="215">
      <c r="A215" s="65"/>
      <c r="B215" s="64"/>
      <c r="C215" s="64"/>
      <c r="D215" s="64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51"/>
      <c r="V215" s="51"/>
      <c r="W215" s="51"/>
      <c r="X215" s="51"/>
      <c r="Y215" s="51"/>
      <c r="Z215" s="51"/>
    </row>
    <row r="216">
      <c r="A216" s="65"/>
      <c r="B216" s="64"/>
      <c r="C216" s="64"/>
      <c r="D216" s="64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51"/>
      <c r="V216" s="51"/>
      <c r="W216" s="51"/>
      <c r="X216" s="51"/>
      <c r="Y216" s="51"/>
      <c r="Z216" s="51"/>
    </row>
    <row r="217">
      <c r="A217" s="65"/>
      <c r="B217" s="64"/>
      <c r="C217" s="64"/>
      <c r="D217" s="64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51"/>
      <c r="V217" s="51"/>
      <c r="W217" s="51"/>
      <c r="X217" s="51"/>
      <c r="Y217" s="51"/>
      <c r="Z217" s="51"/>
    </row>
    <row r="218">
      <c r="A218" s="65"/>
      <c r="B218" s="64"/>
      <c r="C218" s="64"/>
      <c r="D218" s="64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51"/>
      <c r="V218" s="51"/>
      <c r="W218" s="51"/>
      <c r="X218" s="51"/>
      <c r="Y218" s="51"/>
      <c r="Z218" s="51"/>
    </row>
    <row r="219">
      <c r="A219" s="65"/>
      <c r="B219" s="64"/>
      <c r="C219" s="64"/>
      <c r="D219" s="64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51"/>
      <c r="V219" s="51"/>
      <c r="W219" s="51"/>
      <c r="X219" s="51"/>
      <c r="Y219" s="51"/>
      <c r="Z219" s="51"/>
    </row>
    <row r="220">
      <c r="A220" s="65"/>
      <c r="B220" s="64"/>
      <c r="C220" s="64"/>
      <c r="D220" s="64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51"/>
      <c r="V220" s="51"/>
      <c r="W220" s="51"/>
      <c r="X220" s="51"/>
      <c r="Y220" s="51"/>
      <c r="Z220" s="51"/>
    </row>
    <row r="221">
      <c r="A221" s="65"/>
      <c r="B221" s="64"/>
      <c r="C221" s="64"/>
      <c r="D221" s="64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51"/>
      <c r="V221" s="51"/>
      <c r="W221" s="51"/>
      <c r="X221" s="51"/>
      <c r="Y221" s="51"/>
      <c r="Z221" s="51"/>
    </row>
    <row r="222">
      <c r="A222" s="65"/>
      <c r="B222" s="64"/>
      <c r="C222" s="64"/>
      <c r="D222" s="64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51"/>
      <c r="V222" s="51"/>
      <c r="W222" s="51"/>
      <c r="X222" s="51"/>
      <c r="Y222" s="51"/>
      <c r="Z222" s="51"/>
    </row>
    <row r="223">
      <c r="A223" s="65"/>
      <c r="B223" s="64"/>
      <c r="C223" s="64"/>
      <c r="D223" s="64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51"/>
      <c r="V223" s="51"/>
      <c r="W223" s="51"/>
      <c r="X223" s="51"/>
      <c r="Y223" s="51"/>
      <c r="Z223" s="51"/>
    </row>
    <row r="224">
      <c r="A224" s="65"/>
      <c r="B224" s="64"/>
      <c r="C224" s="64"/>
      <c r="D224" s="64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51"/>
      <c r="V224" s="51"/>
      <c r="W224" s="51"/>
      <c r="X224" s="51"/>
      <c r="Y224" s="51"/>
      <c r="Z224" s="51"/>
    </row>
    <row r="225">
      <c r="A225" s="65"/>
      <c r="B225" s="64"/>
      <c r="C225" s="64"/>
      <c r="D225" s="64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51"/>
      <c r="V225" s="51"/>
      <c r="W225" s="51"/>
      <c r="X225" s="51"/>
      <c r="Y225" s="51"/>
      <c r="Z225" s="51"/>
    </row>
    <row r="226">
      <c r="A226" s="65"/>
      <c r="B226" s="64"/>
      <c r="C226" s="64"/>
      <c r="D226" s="64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51"/>
      <c r="V226" s="51"/>
      <c r="W226" s="51"/>
      <c r="X226" s="51"/>
      <c r="Y226" s="51"/>
      <c r="Z226" s="51"/>
    </row>
    <row r="227">
      <c r="A227" s="65"/>
      <c r="B227" s="64"/>
      <c r="C227" s="64"/>
      <c r="D227" s="64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51"/>
      <c r="V227" s="51"/>
      <c r="W227" s="51"/>
      <c r="X227" s="51"/>
      <c r="Y227" s="51"/>
      <c r="Z227" s="51"/>
    </row>
    <row r="228">
      <c r="A228" s="65"/>
      <c r="B228" s="64"/>
      <c r="C228" s="64"/>
      <c r="D228" s="64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51"/>
      <c r="V228" s="51"/>
      <c r="W228" s="51"/>
      <c r="X228" s="51"/>
      <c r="Y228" s="51"/>
      <c r="Z228" s="51"/>
    </row>
    <row r="229">
      <c r="A229" s="65"/>
      <c r="B229" s="64"/>
      <c r="C229" s="64"/>
      <c r="D229" s="64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51"/>
      <c r="V229" s="51"/>
      <c r="W229" s="51"/>
      <c r="X229" s="51"/>
      <c r="Y229" s="51"/>
      <c r="Z229" s="51"/>
    </row>
    <row r="230">
      <c r="A230" s="65"/>
      <c r="B230" s="64"/>
      <c r="C230" s="64"/>
      <c r="D230" s="64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51"/>
      <c r="V230" s="51"/>
      <c r="W230" s="51"/>
      <c r="X230" s="51"/>
      <c r="Y230" s="51"/>
      <c r="Z230" s="51"/>
    </row>
    <row r="231">
      <c r="A231" s="65"/>
      <c r="B231" s="64"/>
      <c r="C231" s="64"/>
      <c r="D231" s="64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51"/>
      <c r="V231" s="51"/>
      <c r="W231" s="51"/>
      <c r="X231" s="51"/>
      <c r="Y231" s="51"/>
      <c r="Z231" s="51"/>
    </row>
    <row r="232">
      <c r="A232" s="65"/>
      <c r="B232" s="64"/>
      <c r="C232" s="64"/>
      <c r="D232" s="64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51"/>
      <c r="V232" s="51"/>
      <c r="W232" s="51"/>
      <c r="X232" s="51"/>
      <c r="Y232" s="51"/>
      <c r="Z232" s="51"/>
    </row>
    <row r="233">
      <c r="A233" s="65"/>
      <c r="B233" s="64"/>
      <c r="C233" s="64"/>
      <c r="D233" s="64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51"/>
      <c r="V233" s="51"/>
      <c r="W233" s="51"/>
      <c r="X233" s="51"/>
      <c r="Y233" s="51"/>
      <c r="Z233" s="51"/>
    </row>
    <row r="234">
      <c r="A234" s="65"/>
      <c r="B234" s="64"/>
      <c r="C234" s="64"/>
      <c r="D234" s="64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51"/>
      <c r="V234" s="51"/>
      <c r="W234" s="51"/>
      <c r="X234" s="51"/>
      <c r="Y234" s="51"/>
      <c r="Z234" s="51"/>
    </row>
    <row r="235">
      <c r="A235" s="65"/>
      <c r="B235" s="64"/>
      <c r="C235" s="64"/>
      <c r="D235" s="64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51"/>
      <c r="V235" s="51"/>
      <c r="W235" s="51"/>
      <c r="X235" s="51"/>
      <c r="Y235" s="51"/>
      <c r="Z235" s="51"/>
    </row>
    <row r="236">
      <c r="A236" s="65"/>
      <c r="B236" s="64"/>
      <c r="C236" s="64"/>
      <c r="D236" s="64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51"/>
      <c r="V236" s="51"/>
      <c r="W236" s="51"/>
      <c r="X236" s="51"/>
      <c r="Y236" s="51"/>
      <c r="Z236" s="51"/>
    </row>
    <row r="237">
      <c r="A237" s="65"/>
      <c r="B237" s="64"/>
      <c r="C237" s="64"/>
      <c r="D237" s="64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51"/>
      <c r="V237" s="51"/>
      <c r="W237" s="51"/>
      <c r="X237" s="51"/>
      <c r="Y237" s="51"/>
      <c r="Z237" s="51"/>
    </row>
    <row r="238">
      <c r="A238" s="65"/>
      <c r="B238" s="64"/>
      <c r="C238" s="64"/>
      <c r="D238" s="64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51"/>
      <c r="V238" s="51"/>
      <c r="W238" s="51"/>
      <c r="X238" s="51"/>
      <c r="Y238" s="51"/>
      <c r="Z238" s="51"/>
    </row>
    <row r="239">
      <c r="A239" s="65"/>
      <c r="B239" s="64"/>
      <c r="C239" s="64"/>
      <c r="D239" s="64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51"/>
      <c r="V239" s="51"/>
      <c r="W239" s="51"/>
      <c r="X239" s="51"/>
      <c r="Y239" s="51"/>
      <c r="Z239" s="51"/>
    </row>
    <row r="240">
      <c r="A240" s="65"/>
      <c r="B240" s="64"/>
      <c r="C240" s="64"/>
      <c r="D240" s="64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51"/>
      <c r="V240" s="51"/>
      <c r="W240" s="51"/>
      <c r="X240" s="51"/>
      <c r="Y240" s="51"/>
      <c r="Z240" s="51"/>
    </row>
    <row r="241">
      <c r="A241" s="65"/>
      <c r="B241" s="64"/>
      <c r="C241" s="64"/>
      <c r="D241" s="64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51"/>
      <c r="V241" s="51"/>
      <c r="W241" s="51"/>
      <c r="X241" s="51"/>
      <c r="Y241" s="51"/>
      <c r="Z241" s="51"/>
    </row>
    <row r="242">
      <c r="A242" s="65"/>
      <c r="B242" s="64"/>
      <c r="C242" s="64"/>
      <c r="D242" s="64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51"/>
      <c r="V242" s="51"/>
      <c r="W242" s="51"/>
      <c r="X242" s="51"/>
      <c r="Y242" s="51"/>
      <c r="Z242" s="51"/>
    </row>
    <row r="243">
      <c r="A243" s="65"/>
      <c r="B243" s="64"/>
      <c r="C243" s="64"/>
      <c r="D243" s="64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51"/>
      <c r="V243" s="51"/>
      <c r="W243" s="51"/>
      <c r="X243" s="51"/>
      <c r="Y243" s="51"/>
      <c r="Z243" s="51"/>
    </row>
    <row r="244">
      <c r="A244" s="65"/>
      <c r="B244" s="64"/>
      <c r="C244" s="64"/>
      <c r="D244" s="64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51"/>
      <c r="V244" s="51"/>
      <c r="W244" s="51"/>
      <c r="X244" s="51"/>
      <c r="Y244" s="51"/>
      <c r="Z244" s="51"/>
    </row>
    <row r="245">
      <c r="A245" s="65"/>
      <c r="B245" s="64"/>
      <c r="C245" s="64"/>
      <c r="D245" s="64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51"/>
      <c r="V245" s="51"/>
      <c r="W245" s="51"/>
      <c r="X245" s="51"/>
      <c r="Y245" s="51"/>
      <c r="Z245" s="51"/>
    </row>
    <row r="246">
      <c r="A246" s="65"/>
      <c r="B246" s="64"/>
      <c r="C246" s="64"/>
      <c r="D246" s="64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51"/>
      <c r="V246" s="51"/>
      <c r="W246" s="51"/>
      <c r="X246" s="51"/>
      <c r="Y246" s="51"/>
      <c r="Z246" s="51"/>
    </row>
    <row r="247">
      <c r="A247" s="65"/>
      <c r="B247" s="64"/>
      <c r="C247" s="64"/>
      <c r="D247" s="64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51"/>
      <c r="V247" s="51"/>
      <c r="W247" s="51"/>
      <c r="X247" s="51"/>
      <c r="Y247" s="51"/>
      <c r="Z247" s="51"/>
    </row>
    <row r="248">
      <c r="A248" s="65"/>
      <c r="B248" s="64"/>
      <c r="C248" s="64"/>
      <c r="D248" s="64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51"/>
      <c r="V248" s="51"/>
      <c r="W248" s="51"/>
      <c r="X248" s="51"/>
      <c r="Y248" s="51"/>
      <c r="Z248" s="51"/>
    </row>
    <row r="249">
      <c r="A249" s="65"/>
      <c r="B249" s="64"/>
      <c r="C249" s="64"/>
      <c r="D249" s="64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51"/>
      <c r="V249" s="51"/>
      <c r="W249" s="51"/>
      <c r="X249" s="51"/>
      <c r="Y249" s="51"/>
      <c r="Z249" s="51"/>
    </row>
    <row r="250">
      <c r="A250" s="65"/>
      <c r="B250" s="64"/>
      <c r="C250" s="64"/>
      <c r="D250" s="64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51"/>
      <c r="V250" s="51"/>
      <c r="W250" s="51"/>
      <c r="X250" s="51"/>
      <c r="Y250" s="51"/>
      <c r="Z250" s="51"/>
    </row>
    <row r="251">
      <c r="A251" s="65"/>
      <c r="B251" s="64"/>
      <c r="C251" s="64"/>
      <c r="D251" s="64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51"/>
      <c r="V251" s="51"/>
      <c r="W251" s="51"/>
      <c r="X251" s="51"/>
      <c r="Y251" s="51"/>
      <c r="Z251" s="51"/>
    </row>
    <row r="252">
      <c r="A252" s="65"/>
      <c r="B252" s="64"/>
      <c r="C252" s="64"/>
      <c r="D252" s="64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51"/>
      <c r="V252" s="51"/>
      <c r="W252" s="51"/>
      <c r="X252" s="51"/>
      <c r="Y252" s="51"/>
      <c r="Z252" s="51"/>
    </row>
    <row r="253">
      <c r="A253" s="65"/>
      <c r="B253" s="64"/>
      <c r="C253" s="64"/>
      <c r="D253" s="64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51"/>
      <c r="V253" s="51"/>
      <c r="W253" s="51"/>
      <c r="X253" s="51"/>
      <c r="Y253" s="51"/>
      <c r="Z253" s="51"/>
    </row>
    <row r="254">
      <c r="A254" s="65"/>
      <c r="B254" s="64"/>
      <c r="C254" s="64"/>
      <c r="D254" s="64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51"/>
      <c r="V254" s="51"/>
      <c r="W254" s="51"/>
      <c r="X254" s="51"/>
      <c r="Y254" s="51"/>
      <c r="Z254" s="51"/>
    </row>
    <row r="255">
      <c r="A255" s="65"/>
      <c r="B255" s="64"/>
      <c r="C255" s="64"/>
      <c r="D255" s="64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51"/>
      <c r="V255" s="51"/>
      <c r="W255" s="51"/>
      <c r="X255" s="51"/>
      <c r="Y255" s="51"/>
      <c r="Z255" s="51"/>
    </row>
    <row r="256">
      <c r="A256" s="65"/>
      <c r="B256" s="64"/>
      <c r="C256" s="64"/>
      <c r="D256" s="64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51"/>
      <c r="V256" s="51"/>
      <c r="W256" s="51"/>
      <c r="X256" s="51"/>
      <c r="Y256" s="51"/>
      <c r="Z256" s="51"/>
    </row>
    <row r="257">
      <c r="A257" s="65"/>
      <c r="B257" s="64"/>
      <c r="C257" s="64"/>
      <c r="D257" s="64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51"/>
      <c r="V257" s="51"/>
      <c r="W257" s="51"/>
      <c r="X257" s="51"/>
      <c r="Y257" s="51"/>
      <c r="Z257" s="51"/>
    </row>
    <row r="258">
      <c r="A258" s="65"/>
      <c r="B258" s="64"/>
      <c r="C258" s="64"/>
      <c r="D258" s="64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51"/>
      <c r="V258" s="51"/>
      <c r="W258" s="51"/>
      <c r="X258" s="51"/>
      <c r="Y258" s="51"/>
      <c r="Z258" s="51"/>
    </row>
    <row r="259">
      <c r="A259" s="65"/>
      <c r="B259" s="64"/>
      <c r="C259" s="64"/>
      <c r="D259" s="64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51"/>
      <c r="V259" s="51"/>
      <c r="W259" s="51"/>
      <c r="X259" s="51"/>
      <c r="Y259" s="51"/>
      <c r="Z259" s="51"/>
    </row>
    <row r="260">
      <c r="A260" s="65"/>
      <c r="B260" s="64"/>
      <c r="C260" s="64"/>
      <c r="D260" s="64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51"/>
      <c r="V260" s="51"/>
      <c r="W260" s="51"/>
      <c r="X260" s="51"/>
      <c r="Y260" s="51"/>
      <c r="Z260" s="51"/>
    </row>
    <row r="261">
      <c r="A261" s="51"/>
      <c r="B261" s="64"/>
      <c r="C261" s="64"/>
      <c r="D261" s="64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64"/>
      <c r="C262" s="64"/>
      <c r="D262" s="64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64"/>
      <c r="C263" s="64"/>
      <c r="D263" s="64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64"/>
      <c r="C264" s="64"/>
      <c r="D264" s="64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64"/>
      <c r="C265" s="64"/>
      <c r="D265" s="64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64"/>
      <c r="C266" s="64"/>
      <c r="D266" s="64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64"/>
      <c r="C267" s="64"/>
      <c r="D267" s="64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64"/>
      <c r="C268" s="64"/>
      <c r="D268" s="64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64"/>
      <c r="C269" s="64"/>
      <c r="D269" s="64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64"/>
      <c r="C270" s="64"/>
      <c r="D270" s="64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64"/>
      <c r="C271" s="64"/>
      <c r="D271" s="64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64"/>
      <c r="C272" s="64"/>
      <c r="D272" s="64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64"/>
      <c r="C273" s="64"/>
      <c r="D273" s="64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64"/>
      <c r="C274" s="64"/>
      <c r="D274" s="64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64"/>
      <c r="C275" s="64"/>
      <c r="D275" s="64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64"/>
      <c r="C276" s="64"/>
      <c r="D276" s="64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64"/>
      <c r="C277" s="64"/>
      <c r="D277" s="64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64"/>
      <c r="C278" s="64"/>
      <c r="D278" s="64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64"/>
      <c r="C279" s="64"/>
      <c r="D279" s="64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64"/>
      <c r="C280" s="64"/>
      <c r="D280" s="64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64"/>
      <c r="C281" s="64"/>
      <c r="D281" s="64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64"/>
      <c r="C282" s="64"/>
      <c r="D282" s="64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64"/>
      <c r="C283" s="64"/>
      <c r="D283" s="64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64"/>
      <c r="C284" s="64"/>
      <c r="D284" s="64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64"/>
      <c r="C285" s="64"/>
      <c r="D285" s="64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64"/>
      <c r="C286" s="64"/>
      <c r="D286" s="64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64"/>
      <c r="C287" s="64"/>
      <c r="D287" s="64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64"/>
      <c r="C288" s="64"/>
      <c r="D288" s="64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64"/>
      <c r="C289" s="64"/>
      <c r="D289" s="64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64"/>
      <c r="C290" s="64"/>
      <c r="D290" s="64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64"/>
      <c r="C291" s="64"/>
      <c r="D291" s="64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64"/>
      <c r="C292" s="64"/>
      <c r="D292" s="64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64"/>
      <c r="C293" s="64"/>
      <c r="D293" s="64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64"/>
      <c r="C294" s="64"/>
      <c r="D294" s="64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64"/>
      <c r="C295" s="64"/>
      <c r="D295" s="64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64"/>
      <c r="C296" s="64"/>
      <c r="D296" s="64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64"/>
      <c r="C297" s="64"/>
      <c r="D297" s="64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64"/>
      <c r="C298" s="64"/>
      <c r="D298" s="64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64"/>
      <c r="C299" s="64"/>
      <c r="D299" s="64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64"/>
      <c r="C300" s="64"/>
      <c r="D300" s="64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64"/>
      <c r="C301" s="64"/>
      <c r="D301" s="64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64"/>
      <c r="C302" s="64"/>
      <c r="D302" s="64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64"/>
      <c r="C303" s="64"/>
      <c r="D303" s="64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64"/>
      <c r="C304" s="64"/>
      <c r="D304" s="64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64"/>
      <c r="C305" s="64"/>
      <c r="D305" s="64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64"/>
      <c r="C306" s="64"/>
      <c r="D306" s="64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64"/>
      <c r="C307" s="64"/>
      <c r="D307" s="64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64"/>
      <c r="C308" s="64"/>
      <c r="D308" s="64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64"/>
      <c r="C309" s="64"/>
      <c r="D309" s="64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64"/>
      <c r="C310" s="64"/>
      <c r="D310" s="64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64"/>
      <c r="C311" s="64"/>
      <c r="D311" s="64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64"/>
      <c r="C312" s="64"/>
      <c r="D312" s="64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64"/>
      <c r="C313" s="64"/>
      <c r="D313" s="64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64"/>
      <c r="C314" s="64"/>
      <c r="D314" s="64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64"/>
      <c r="C315" s="64"/>
      <c r="D315" s="64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64"/>
      <c r="C316" s="64"/>
      <c r="D316" s="64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64"/>
      <c r="C317" s="64"/>
      <c r="D317" s="64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64"/>
      <c r="C318" s="64"/>
      <c r="D318" s="64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64"/>
      <c r="C319" s="64"/>
      <c r="D319" s="64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64"/>
      <c r="C320" s="64"/>
      <c r="D320" s="64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64"/>
      <c r="C321" s="64"/>
      <c r="D321" s="64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64"/>
      <c r="C322" s="64"/>
      <c r="D322" s="64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64"/>
      <c r="C323" s="64"/>
      <c r="D323" s="64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64"/>
      <c r="C324" s="64"/>
      <c r="D324" s="64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64"/>
      <c r="C325" s="64"/>
      <c r="D325" s="64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64"/>
      <c r="C326" s="64"/>
      <c r="D326" s="64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64"/>
      <c r="C327" s="64"/>
      <c r="D327" s="64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64"/>
      <c r="C328" s="64"/>
      <c r="D328" s="64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64"/>
      <c r="C329" s="64"/>
      <c r="D329" s="64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64"/>
      <c r="C330" s="64"/>
      <c r="D330" s="64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64"/>
      <c r="C331" s="64"/>
      <c r="D331" s="64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64"/>
      <c r="C332" s="64"/>
      <c r="D332" s="64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64"/>
      <c r="C333" s="64"/>
      <c r="D333" s="64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64"/>
      <c r="C334" s="64"/>
      <c r="D334" s="64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64"/>
      <c r="C335" s="64"/>
      <c r="D335" s="64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64"/>
      <c r="C336" s="64"/>
      <c r="D336" s="64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64"/>
      <c r="C337" s="64"/>
      <c r="D337" s="64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64"/>
      <c r="C338" s="64"/>
      <c r="D338" s="64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64"/>
      <c r="C339" s="64"/>
      <c r="D339" s="64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64"/>
      <c r="C340" s="64"/>
      <c r="D340" s="64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64"/>
      <c r="C341" s="64"/>
      <c r="D341" s="64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64"/>
      <c r="C342" s="64"/>
      <c r="D342" s="64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64"/>
      <c r="C343" s="64"/>
      <c r="D343" s="64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64"/>
      <c r="C344" s="64"/>
      <c r="D344" s="64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64"/>
      <c r="C345" s="64"/>
      <c r="D345" s="64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64"/>
      <c r="C346" s="64"/>
      <c r="D346" s="64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64"/>
      <c r="C347" s="64"/>
      <c r="D347" s="64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64"/>
      <c r="C348" s="64"/>
      <c r="D348" s="64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64"/>
      <c r="C349" s="64"/>
      <c r="D349" s="64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64"/>
      <c r="C350" s="64"/>
      <c r="D350" s="64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64"/>
      <c r="C351" s="64"/>
      <c r="D351" s="64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64"/>
      <c r="C352" s="64"/>
      <c r="D352" s="64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64"/>
      <c r="C353" s="64"/>
      <c r="D353" s="64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64"/>
      <c r="C354" s="64"/>
      <c r="D354" s="64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64"/>
      <c r="C355" s="64"/>
      <c r="D355" s="64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64"/>
      <c r="C356" s="64"/>
      <c r="D356" s="64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64"/>
      <c r="C357" s="64"/>
      <c r="D357" s="64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64"/>
      <c r="C358" s="64"/>
      <c r="D358" s="64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64"/>
      <c r="C359" s="64"/>
      <c r="D359" s="64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64"/>
      <c r="C360" s="64"/>
      <c r="D360" s="64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64"/>
      <c r="C361" s="64"/>
      <c r="D361" s="64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64"/>
      <c r="C362" s="64"/>
      <c r="D362" s="64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64"/>
      <c r="C363" s="64"/>
      <c r="D363" s="64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64"/>
      <c r="C364" s="64"/>
      <c r="D364" s="64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64"/>
      <c r="C365" s="64"/>
      <c r="D365" s="64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64"/>
      <c r="C366" s="64"/>
      <c r="D366" s="64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64"/>
      <c r="C367" s="64"/>
      <c r="D367" s="64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64"/>
      <c r="C368" s="64"/>
      <c r="D368" s="64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64"/>
      <c r="C369" s="64"/>
      <c r="D369" s="64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64"/>
      <c r="C370" s="64"/>
      <c r="D370" s="64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64"/>
      <c r="C371" s="64"/>
      <c r="D371" s="64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64"/>
      <c r="C372" s="64"/>
      <c r="D372" s="64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64"/>
      <c r="C373" s="64"/>
      <c r="D373" s="64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64"/>
      <c r="C374" s="64"/>
      <c r="D374" s="64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64"/>
      <c r="C375" s="64"/>
      <c r="D375" s="64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64"/>
      <c r="C376" s="64"/>
      <c r="D376" s="64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64"/>
      <c r="C377" s="64"/>
      <c r="D377" s="64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64"/>
      <c r="C378" s="64"/>
      <c r="D378" s="64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64"/>
      <c r="C379" s="64"/>
      <c r="D379" s="64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64"/>
      <c r="C380" s="64"/>
      <c r="D380" s="64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64"/>
      <c r="C381" s="64"/>
      <c r="D381" s="64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64"/>
      <c r="C382" s="64"/>
      <c r="D382" s="64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64"/>
      <c r="C383" s="64"/>
      <c r="D383" s="64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64"/>
      <c r="C384" s="64"/>
      <c r="D384" s="64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64"/>
      <c r="C385" s="64"/>
      <c r="D385" s="64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64"/>
      <c r="C386" s="64"/>
      <c r="D386" s="64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64"/>
      <c r="C387" s="64"/>
      <c r="D387" s="64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64"/>
      <c r="C388" s="64"/>
      <c r="D388" s="64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64"/>
      <c r="C389" s="64"/>
      <c r="D389" s="64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64"/>
      <c r="C390" s="64"/>
      <c r="D390" s="64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64"/>
      <c r="C391" s="64"/>
      <c r="D391" s="64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64"/>
      <c r="C392" s="64"/>
      <c r="D392" s="64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64"/>
      <c r="C393" s="64"/>
      <c r="D393" s="64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64"/>
      <c r="C394" s="64"/>
      <c r="D394" s="64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64"/>
      <c r="C395" s="64"/>
      <c r="D395" s="64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64"/>
      <c r="C396" s="64"/>
      <c r="D396" s="64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64"/>
      <c r="C397" s="64"/>
      <c r="D397" s="64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64"/>
      <c r="C398" s="64"/>
      <c r="D398" s="64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64"/>
      <c r="C399" s="64"/>
      <c r="D399" s="64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64"/>
      <c r="C400" s="64"/>
      <c r="D400" s="64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64"/>
      <c r="C401" s="64"/>
      <c r="D401" s="64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64"/>
      <c r="C402" s="64"/>
      <c r="D402" s="64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64"/>
      <c r="C403" s="64"/>
      <c r="D403" s="64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64"/>
      <c r="C404" s="64"/>
      <c r="D404" s="64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64"/>
      <c r="C405" s="64"/>
      <c r="D405" s="64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64"/>
      <c r="C406" s="64"/>
      <c r="D406" s="64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64"/>
      <c r="C407" s="64"/>
      <c r="D407" s="64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64"/>
      <c r="C408" s="64"/>
      <c r="D408" s="64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64"/>
      <c r="C409" s="64"/>
      <c r="D409" s="64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64"/>
      <c r="C410" s="64"/>
      <c r="D410" s="64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64"/>
      <c r="C411" s="64"/>
      <c r="D411" s="64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64"/>
      <c r="C412" s="64"/>
      <c r="D412" s="64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64"/>
      <c r="C413" s="64"/>
      <c r="D413" s="64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64"/>
      <c r="C414" s="64"/>
      <c r="D414" s="64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64"/>
      <c r="C415" s="64"/>
      <c r="D415" s="64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64"/>
      <c r="C416" s="64"/>
      <c r="D416" s="64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64"/>
      <c r="C417" s="64"/>
      <c r="D417" s="64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64"/>
      <c r="C418" s="64"/>
      <c r="D418" s="64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64"/>
      <c r="C419" s="64"/>
      <c r="D419" s="64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64"/>
      <c r="C420" s="64"/>
      <c r="D420" s="64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64"/>
      <c r="C421" s="64"/>
      <c r="D421" s="64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64"/>
      <c r="C422" s="64"/>
      <c r="D422" s="64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64"/>
      <c r="C423" s="64"/>
      <c r="D423" s="64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64"/>
      <c r="C424" s="64"/>
      <c r="D424" s="64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64"/>
      <c r="C425" s="64"/>
      <c r="D425" s="64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64"/>
      <c r="C426" s="64"/>
      <c r="D426" s="64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64"/>
      <c r="C427" s="64"/>
      <c r="D427" s="64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64"/>
      <c r="C428" s="64"/>
      <c r="D428" s="64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64"/>
      <c r="C429" s="64"/>
      <c r="D429" s="64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64"/>
      <c r="C430" s="64"/>
      <c r="D430" s="64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64"/>
      <c r="C431" s="64"/>
      <c r="D431" s="64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64"/>
      <c r="C432" s="64"/>
      <c r="D432" s="64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64"/>
      <c r="C433" s="64"/>
      <c r="D433" s="64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64"/>
      <c r="C434" s="64"/>
      <c r="D434" s="64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64"/>
      <c r="C435" s="64"/>
      <c r="D435" s="64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64"/>
      <c r="C436" s="64"/>
      <c r="D436" s="64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64"/>
      <c r="C437" s="64"/>
      <c r="D437" s="64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64"/>
      <c r="C438" s="64"/>
      <c r="D438" s="64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64"/>
      <c r="C439" s="64"/>
      <c r="D439" s="64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64"/>
      <c r="C440" s="64"/>
      <c r="D440" s="64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64"/>
      <c r="C441" s="64"/>
      <c r="D441" s="64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64"/>
      <c r="C442" s="64"/>
      <c r="D442" s="64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64"/>
      <c r="C443" s="64"/>
      <c r="D443" s="64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64"/>
      <c r="C444" s="64"/>
      <c r="D444" s="64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64"/>
      <c r="C445" s="64"/>
      <c r="D445" s="64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64"/>
      <c r="C446" s="64"/>
      <c r="D446" s="64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64"/>
      <c r="C447" s="64"/>
      <c r="D447" s="64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64"/>
      <c r="C448" s="64"/>
      <c r="D448" s="64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64"/>
      <c r="C449" s="64"/>
      <c r="D449" s="64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64"/>
      <c r="C450" s="64"/>
      <c r="D450" s="64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64"/>
      <c r="C451" s="64"/>
      <c r="D451" s="64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64"/>
      <c r="C452" s="64"/>
      <c r="D452" s="64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64"/>
      <c r="C453" s="64"/>
      <c r="D453" s="64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64"/>
      <c r="C454" s="64"/>
      <c r="D454" s="64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64"/>
      <c r="C455" s="64"/>
      <c r="D455" s="64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64"/>
      <c r="C456" s="64"/>
      <c r="D456" s="64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64"/>
      <c r="C457" s="64"/>
      <c r="D457" s="64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64"/>
      <c r="C458" s="64"/>
      <c r="D458" s="64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64"/>
      <c r="C459" s="64"/>
      <c r="D459" s="64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64"/>
      <c r="C460" s="64"/>
      <c r="D460" s="64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64"/>
      <c r="C461" s="64"/>
      <c r="D461" s="64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64"/>
      <c r="C462" s="64"/>
      <c r="D462" s="64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64"/>
      <c r="C463" s="64"/>
      <c r="D463" s="64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64"/>
      <c r="C464" s="64"/>
      <c r="D464" s="64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64"/>
      <c r="C465" s="64"/>
      <c r="D465" s="64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64"/>
      <c r="C466" s="64"/>
      <c r="D466" s="64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64"/>
      <c r="C467" s="64"/>
      <c r="D467" s="64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64"/>
      <c r="C468" s="64"/>
      <c r="D468" s="64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64"/>
      <c r="C469" s="64"/>
      <c r="D469" s="64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64"/>
      <c r="C470" s="64"/>
      <c r="D470" s="64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64"/>
      <c r="C471" s="64"/>
      <c r="D471" s="64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64"/>
      <c r="C472" s="64"/>
      <c r="D472" s="64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64"/>
      <c r="C473" s="64"/>
      <c r="D473" s="64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64"/>
      <c r="C474" s="64"/>
      <c r="D474" s="64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64"/>
      <c r="C475" s="64"/>
      <c r="D475" s="64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64"/>
      <c r="C476" s="64"/>
      <c r="D476" s="64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64"/>
      <c r="C477" s="64"/>
      <c r="D477" s="64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64"/>
      <c r="C478" s="64"/>
      <c r="D478" s="64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64"/>
      <c r="C479" s="64"/>
      <c r="D479" s="64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64"/>
      <c r="C480" s="64"/>
      <c r="D480" s="64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64"/>
      <c r="C481" s="64"/>
      <c r="D481" s="64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64"/>
      <c r="C482" s="64"/>
      <c r="D482" s="64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64"/>
      <c r="C483" s="64"/>
      <c r="D483" s="64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64"/>
      <c r="C484" s="64"/>
      <c r="D484" s="64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64"/>
      <c r="C485" s="64"/>
      <c r="D485" s="64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64"/>
      <c r="C486" s="64"/>
      <c r="D486" s="64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64"/>
      <c r="C487" s="64"/>
      <c r="D487" s="64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64"/>
      <c r="C488" s="64"/>
      <c r="D488" s="64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64"/>
      <c r="C489" s="64"/>
      <c r="D489" s="64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64"/>
      <c r="C490" s="64"/>
      <c r="D490" s="64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64"/>
      <c r="C491" s="64"/>
      <c r="D491" s="64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64"/>
      <c r="C492" s="64"/>
      <c r="D492" s="64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64"/>
      <c r="C493" s="64"/>
      <c r="D493" s="64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64"/>
      <c r="C494" s="64"/>
      <c r="D494" s="64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64"/>
      <c r="C495" s="64"/>
      <c r="D495" s="64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64"/>
      <c r="C496" s="64"/>
      <c r="D496" s="64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64"/>
      <c r="C497" s="64"/>
      <c r="D497" s="64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64"/>
      <c r="C498" s="64"/>
      <c r="D498" s="64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64"/>
      <c r="C499" s="64"/>
      <c r="D499" s="64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64"/>
      <c r="C500" s="64"/>
      <c r="D500" s="64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64"/>
      <c r="C501" s="64"/>
      <c r="D501" s="64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64"/>
      <c r="C502" s="64"/>
      <c r="D502" s="64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64"/>
      <c r="C503" s="64"/>
      <c r="D503" s="64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64"/>
      <c r="C504" s="64"/>
      <c r="D504" s="64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64"/>
      <c r="C505" s="64"/>
      <c r="D505" s="64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64"/>
      <c r="C506" s="64"/>
      <c r="D506" s="64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64"/>
      <c r="C507" s="64"/>
      <c r="D507" s="64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64"/>
      <c r="C508" s="64"/>
      <c r="D508" s="64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64"/>
      <c r="C509" s="64"/>
      <c r="D509" s="64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64"/>
      <c r="C510" s="64"/>
      <c r="D510" s="64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64"/>
      <c r="C511" s="64"/>
      <c r="D511" s="64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64"/>
      <c r="C512" s="64"/>
      <c r="D512" s="64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64"/>
      <c r="C513" s="64"/>
      <c r="D513" s="64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64"/>
      <c r="C514" s="64"/>
      <c r="D514" s="64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64"/>
      <c r="C515" s="64"/>
      <c r="D515" s="64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64"/>
      <c r="C516" s="64"/>
      <c r="D516" s="64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64"/>
      <c r="C517" s="64"/>
      <c r="D517" s="64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64"/>
      <c r="C518" s="64"/>
      <c r="D518" s="64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64"/>
      <c r="C519" s="64"/>
      <c r="D519" s="64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64"/>
      <c r="C520" s="64"/>
      <c r="D520" s="64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64"/>
      <c r="C521" s="64"/>
      <c r="D521" s="64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64"/>
      <c r="C522" s="64"/>
      <c r="D522" s="64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64"/>
      <c r="C523" s="64"/>
      <c r="D523" s="64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64"/>
      <c r="C524" s="64"/>
      <c r="D524" s="64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64"/>
      <c r="C525" s="64"/>
      <c r="D525" s="64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64"/>
      <c r="C526" s="64"/>
      <c r="D526" s="64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64"/>
      <c r="C527" s="64"/>
      <c r="D527" s="64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64"/>
      <c r="C528" s="64"/>
      <c r="D528" s="64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64"/>
      <c r="C529" s="64"/>
      <c r="D529" s="64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64"/>
      <c r="C530" s="64"/>
      <c r="D530" s="64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64"/>
      <c r="C531" s="64"/>
      <c r="D531" s="64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64"/>
      <c r="C532" s="64"/>
      <c r="D532" s="64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64"/>
      <c r="C533" s="64"/>
      <c r="D533" s="64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64"/>
      <c r="C534" s="64"/>
      <c r="D534" s="64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64"/>
      <c r="C535" s="64"/>
      <c r="D535" s="64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64"/>
      <c r="C536" s="64"/>
      <c r="D536" s="64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64"/>
      <c r="C537" s="64"/>
      <c r="D537" s="64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64"/>
      <c r="C538" s="64"/>
      <c r="D538" s="64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64"/>
      <c r="C539" s="64"/>
      <c r="D539" s="64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64"/>
      <c r="C540" s="64"/>
      <c r="D540" s="64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64"/>
      <c r="C541" s="64"/>
      <c r="D541" s="64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64"/>
      <c r="C542" s="64"/>
      <c r="D542" s="64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64"/>
      <c r="C543" s="64"/>
      <c r="D543" s="64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64"/>
      <c r="C544" s="64"/>
      <c r="D544" s="64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64"/>
      <c r="C545" s="64"/>
      <c r="D545" s="64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64"/>
      <c r="C546" s="64"/>
      <c r="D546" s="64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64"/>
      <c r="C547" s="64"/>
      <c r="D547" s="64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64"/>
      <c r="C548" s="64"/>
      <c r="D548" s="64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64"/>
      <c r="C549" s="64"/>
      <c r="D549" s="64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64"/>
      <c r="C550" s="64"/>
      <c r="D550" s="64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64"/>
      <c r="C551" s="64"/>
      <c r="D551" s="64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64"/>
      <c r="C552" s="64"/>
      <c r="D552" s="64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64"/>
      <c r="C553" s="64"/>
      <c r="D553" s="64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64"/>
      <c r="C554" s="64"/>
      <c r="D554" s="64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64"/>
      <c r="C555" s="64"/>
      <c r="D555" s="64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64"/>
      <c r="C556" s="64"/>
      <c r="D556" s="64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64"/>
      <c r="C557" s="64"/>
      <c r="D557" s="64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64"/>
      <c r="C558" s="64"/>
      <c r="D558" s="64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64"/>
      <c r="C559" s="64"/>
      <c r="D559" s="64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64"/>
      <c r="C560" s="64"/>
      <c r="D560" s="64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64"/>
      <c r="C561" s="64"/>
      <c r="D561" s="64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64"/>
      <c r="C562" s="64"/>
      <c r="D562" s="64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64"/>
      <c r="C563" s="64"/>
      <c r="D563" s="64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64"/>
      <c r="C564" s="64"/>
      <c r="D564" s="64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64"/>
      <c r="C565" s="64"/>
      <c r="D565" s="64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64"/>
      <c r="C566" s="64"/>
      <c r="D566" s="64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64"/>
      <c r="C567" s="64"/>
      <c r="D567" s="64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64"/>
      <c r="C568" s="64"/>
      <c r="D568" s="64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64"/>
      <c r="C569" s="64"/>
      <c r="D569" s="64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64"/>
      <c r="C570" s="64"/>
      <c r="D570" s="64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64"/>
      <c r="C571" s="64"/>
      <c r="D571" s="64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64"/>
      <c r="C572" s="64"/>
      <c r="D572" s="64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64"/>
      <c r="C573" s="64"/>
      <c r="D573" s="64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64"/>
      <c r="C574" s="64"/>
      <c r="D574" s="64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64"/>
      <c r="C575" s="64"/>
      <c r="D575" s="64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64"/>
      <c r="C576" s="64"/>
      <c r="D576" s="64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64"/>
      <c r="C577" s="64"/>
      <c r="D577" s="64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64"/>
      <c r="C578" s="64"/>
      <c r="D578" s="64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64"/>
      <c r="C579" s="64"/>
      <c r="D579" s="64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64"/>
      <c r="C580" s="64"/>
      <c r="D580" s="64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64"/>
      <c r="C581" s="64"/>
      <c r="D581" s="64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64"/>
      <c r="C582" s="64"/>
      <c r="D582" s="64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64"/>
      <c r="C583" s="64"/>
      <c r="D583" s="64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64"/>
      <c r="C584" s="64"/>
      <c r="D584" s="64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64"/>
      <c r="C585" s="64"/>
      <c r="D585" s="64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64"/>
      <c r="C586" s="64"/>
      <c r="D586" s="64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64"/>
      <c r="C587" s="64"/>
      <c r="D587" s="64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64"/>
      <c r="C588" s="64"/>
      <c r="D588" s="64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64"/>
      <c r="C589" s="64"/>
      <c r="D589" s="64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64"/>
      <c r="C590" s="64"/>
      <c r="D590" s="64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64"/>
      <c r="C591" s="64"/>
      <c r="D591" s="64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64"/>
      <c r="C592" s="64"/>
      <c r="D592" s="64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64"/>
      <c r="C593" s="64"/>
      <c r="D593" s="64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64"/>
      <c r="C594" s="64"/>
      <c r="D594" s="64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64"/>
      <c r="C595" s="64"/>
      <c r="D595" s="64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64"/>
      <c r="C596" s="64"/>
      <c r="D596" s="64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64"/>
      <c r="C597" s="64"/>
      <c r="D597" s="64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64"/>
      <c r="C598" s="64"/>
      <c r="D598" s="64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64"/>
      <c r="C599" s="64"/>
      <c r="D599" s="64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64"/>
      <c r="C600" s="64"/>
      <c r="D600" s="64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64"/>
      <c r="C601" s="64"/>
      <c r="D601" s="64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64"/>
      <c r="C602" s="64"/>
      <c r="D602" s="64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64"/>
      <c r="C603" s="64"/>
      <c r="D603" s="64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64"/>
      <c r="C604" s="64"/>
      <c r="D604" s="64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64"/>
      <c r="C605" s="64"/>
      <c r="D605" s="64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64"/>
      <c r="C606" s="64"/>
      <c r="D606" s="64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64"/>
      <c r="C607" s="64"/>
      <c r="D607" s="64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64"/>
      <c r="C608" s="64"/>
      <c r="D608" s="64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64"/>
      <c r="C609" s="64"/>
      <c r="D609" s="64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64"/>
      <c r="C610" s="64"/>
      <c r="D610" s="64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64"/>
      <c r="C611" s="64"/>
      <c r="D611" s="64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64"/>
      <c r="C612" s="64"/>
      <c r="D612" s="64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64"/>
      <c r="C613" s="64"/>
      <c r="D613" s="64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64"/>
      <c r="C614" s="64"/>
      <c r="D614" s="64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64"/>
      <c r="C615" s="64"/>
      <c r="D615" s="64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64"/>
      <c r="C616" s="64"/>
      <c r="D616" s="64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64"/>
      <c r="C617" s="64"/>
      <c r="D617" s="64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64"/>
      <c r="C618" s="64"/>
      <c r="D618" s="64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64"/>
      <c r="C619" s="64"/>
      <c r="D619" s="64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64"/>
      <c r="C620" s="64"/>
      <c r="D620" s="64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64"/>
      <c r="C621" s="64"/>
      <c r="D621" s="64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64"/>
      <c r="C622" s="64"/>
      <c r="D622" s="64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64"/>
      <c r="C623" s="64"/>
      <c r="D623" s="64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64"/>
      <c r="C624" s="64"/>
      <c r="D624" s="64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64"/>
      <c r="C625" s="64"/>
      <c r="D625" s="64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64"/>
      <c r="C626" s="64"/>
      <c r="D626" s="64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64"/>
      <c r="C627" s="64"/>
      <c r="D627" s="64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64"/>
      <c r="C628" s="64"/>
      <c r="D628" s="64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64"/>
      <c r="C629" s="64"/>
      <c r="D629" s="64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64"/>
      <c r="C630" s="64"/>
      <c r="D630" s="64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64"/>
      <c r="C631" s="64"/>
      <c r="D631" s="64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64"/>
      <c r="C632" s="64"/>
      <c r="D632" s="64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64"/>
      <c r="C633" s="64"/>
      <c r="D633" s="64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64"/>
      <c r="C634" s="64"/>
      <c r="D634" s="64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64"/>
      <c r="C635" s="64"/>
      <c r="D635" s="64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64"/>
      <c r="C636" s="64"/>
      <c r="D636" s="64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64"/>
      <c r="C637" s="64"/>
      <c r="D637" s="64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64"/>
      <c r="C638" s="64"/>
      <c r="D638" s="64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64"/>
      <c r="C639" s="64"/>
      <c r="D639" s="64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64"/>
      <c r="C640" s="64"/>
      <c r="D640" s="64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64"/>
      <c r="C641" s="64"/>
      <c r="D641" s="64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64"/>
      <c r="C642" s="64"/>
      <c r="D642" s="64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64"/>
      <c r="C643" s="64"/>
      <c r="D643" s="64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64"/>
      <c r="C644" s="64"/>
      <c r="D644" s="64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64"/>
      <c r="C645" s="64"/>
      <c r="D645" s="64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64"/>
      <c r="C646" s="64"/>
      <c r="D646" s="64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64"/>
      <c r="C647" s="64"/>
      <c r="D647" s="64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64"/>
      <c r="C648" s="64"/>
      <c r="D648" s="64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64"/>
      <c r="C649" s="64"/>
      <c r="D649" s="64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64"/>
      <c r="C650" s="64"/>
      <c r="D650" s="64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64"/>
      <c r="C651" s="64"/>
      <c r="D651" s="64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64"/>
      <c r="C652" s="64"/>
      <c r="D652" s="64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64"/>
      <c r="C653" s="64"/>
      <c r="D653" s="64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64"/>
      <c r="C654" s="64"/>
      <c r="D654" s="64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64"/>
      <c r="C655" s="64"/>
      <c r="D655" s="64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64"/>
      <c r="C656" s="64"/>
      <c r="D656" s="64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64"/>
      <c r="C657" s="64"/>
      <c r="D657" s="64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64"/>
      <c r="C658" s="64"/>
      <c r="D658" s="64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64"/>
      <c r="C659" s="64"/>
      <c r="D659" s="64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64"/>
      <c r="C660" s="64"/>
      <c r="D660" s="64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64"/>
      <c r="C661" s="64"/>
      <c r="D661" s="64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64"/>
      <c r="C662" s="64"/>
      <c r="D662" s="64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64"/>
      <c r="C663" s="64"/>
      <c r="D663" s="64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64"/>
      <c r="C664" s="64"/>
      <c r="D664" s="64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64"/>
      <c r="C665" s="64"/>
      <c r="D665" s="64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64"/>
      <c r="C666" s="64"/>
      <c r="D666" s="64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64"/>
      <c r="C667" s="64"/>
      <c r="D667" s="64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64"/>
      <c r="C668" s="64"/>
      <c r="D668" s="64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64"/>
      <c r="C669" s="64"/>
      <c r="D669" s="64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64"/>
      <c r="C670" s="64"/>
      <c r="D670" s="64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64"/>
      <c r="C671" s="64"/>
      <c r="D671" s="64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64"/>
      <c r="C672" s="64"/>
      <c r="D672" s="64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64"/>
      <c r="C673" s="64"/>
      <c r="D673" s="64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64"/>
      <c r="C674" s="64"/>
      <c r="D674" s="64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64"/>
      <c r="C675" s="64"/>
      <c r="D675" s="64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64"/>
      <c r="C676" s="64"/>
      <c r="D676" s="64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64"/>
      <c r="C677" s="64"/>
      <c r="D677" s="64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64"/>
      <c r="C678" s="64"/>
      <c r="D678" s="64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64"/>
      <c r="C679" s="64"/>
      <c r="D679" s="64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64"/>
      <c r="C680" s="64"/>
      <c r="D680" s="64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64"/>
      <c r="C681" s="64"/>
      <c r="D681" s="64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64"/>
      <c r="C682" s="64"/>
      <c r="D682" s="64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64"/>
      <c r="C683" s="64"/>
      <c r="D683" s="64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64"/>
      <c r="C684" s="64"/>
      <c r="D684" s="64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64"/>
      <c r="C685" s="64"/>
      <c r="D685" s="64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64"/>
      <c r="C686" s="64"/>
      <c r="D686" s="64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64"/>
      <c r="C687" s="64"/>
      <c r="D687" s="64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64"/>
      <c r="C688" s="64"/>
      <c r="D688" s="64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64"/>
      <c r="C689" s="64"/>
      <c r="D689" s="64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64"/>
      <c r="C690" s="64"/>
      <c r="D690" s="64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64"/>
      <c r="C691" s="64"/>
      <c r="D691" s="64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64"/>
      <c r="C692" s="64"/>
      <c r="D692" s="64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64"/>
      <c r="C693" s="64"/>
      <c r="D693" s="64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64"/>
      <c r="C694" s="64"/>
      <c r="D694" s="64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64"/>
      <c r="C695" s="64"/>
      <c r="D695" s="64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64"/>
      <c r="C696" s="64"/>
      <c r="D696" s="64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64"/>
      <c r="C697" s="64"/>
      <c r="D697" s="64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64"/>
      <c r="C698" s="64"/>
      <c r="D698" s="64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64"/>
      <c r="C699" s="64"/>
      <c r="D699" s="64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64"/>
      <c r="C700" s="64"/>
      <c r="D700" s="64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64"/>
      <c r="C701" s="64"/>
      <c r="D701" s="64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64"/>
      <c r="C702" s="64"/>
      <c r="D702" s="64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64"/>
      <c r="C703" s="64"/>
      <c r="D703" s="64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64"/>
      <c r="C704" s="64"/>
      <c r="D704" s="64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64"/>
      <c r="C705" s="64"/>
      <c r="D705" s="64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64"/>
      <c r="C706" s="64"/>
      <c r="D706" s="64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64"/>
      <c r="C707" s="64"/>
      <c r="D707" s="64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64"/>
      <c r="C708" s="64"/>
      <c r="D708" s="64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64"/>
      <c r="C709" s="64"/>
      <c r="D709" s="64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64"/>
      <c r="C710" s="64"/>
      <c r="D710" s="64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64"/>
      <c r="C711" s="64"/>
      <c r="D711" s="64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64"/>
      <c r="C712" s="64"/>
      <c r="D712" s="64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64"/>
      <c r="C713" s="64"/>
      <c r="D713" s="64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64"/>
      <c r="C714" s="64"/>
      <c r="D714" s="64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64"/>
      <c r="C715" s="64"/>
      <c r="D715" s="64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64"/>
      <c r="C716" s="64"/>
      <c r="D716" s="64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64"/>
      <c r="C717" s="64"/>
      <c r="D717" s="64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64"/>
      <c r="C718" s="64"/>
      <c r="D718" s="64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64"/>
      <c r="C719" s="64"/>
      <c r="D719" s="64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64"/>
      <c r="C720" s="64"/>
      <c r="D720" s="64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64"/>
      <c r="C721" s="64"/>
      <c r="D721" s="64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64"/>
      <c r="C722" s="64"/>
      <c r="D722" s="64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64"/>
      <c r="C723" s="64"/>
      <c r="D723" s="64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64"/>
      <c r="C724" s="64"/>
      <c r="D724" s="64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64"/>
      <c r="C725" s="64"/>
      <c r="D725" s="64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64"/>
      <c r="C726" s="64"/>
      <c r="D726" s="64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64"/>
      <c r="C727" s="64"/>
      <c r="D727" s="64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64"/>
      <c r="C728" s="64"/>
      <c r="D728" s="64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64"/>
      <c r="C729" s="64"/>
      <c r="D729" s="64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64"/>
      <c r="C730" s="64"/>
      <c r="D730" s="64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64"/>
      <c r="C731" s="64"/>
      <c r="D731" s="64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64"/>
      <c r="C732" s="64"/>
      <c r="D732" s="64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64"/>
      <c r="C733" s="64"/>
      <c r="D733" s="64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64"/>
      <c r="C734" s="64"/>
      <c r="D734" s="64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64"/>
      <c r="C735" s="64"/>
      <c r="D735" s="64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64"/>
      <c r="C736" s="64"/>
      <c r="D736" s="64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64"/>
      <c r="C737" s="64"/>
      <c r="D737" s="64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64"/>
      <c r="C738" s="64"/>
      <c r="D738" s="64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64"/>
      <c r="C739" s="64"/>
      <c r="D739" s="64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64"/>
      <c r="C740" s="64"/>
      <c r="D740" s="64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64"/>
      <c r="C741" s="64"/>
      <c r="D741" s="64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64"/>
      <c r="C742" s="64"/>
      <c r="D742" s="64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64"/>
      <c r="C743" s="64"/>
      <c r="D743" s="64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64"/>
      <c r="C744" s="64"/>
      <c r="D744" s="64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64"/>
      <c r="C745" s="64"/>
      <c r="D745" s="64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64"/>
      <c r="C746" s="64"/>
      <c r="D746" s="64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64"/>
      <c r="C747" s="64"/>
      <c r="D747" s="64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64"/>
      <c r="C748" s="64"/>
      <c r="D748" s="64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64"/>
      <c r="C749" s="64"/>
      <c r="D749" s="64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64"/>
      <c r="C750" s="64"/>
      <c r="D750" s="64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64"/>
      <c r="C751" s="64"/>
      <c r="D751" s="64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64"/>
      <c r="C752" s="64"/>
      <c r="D752" s="64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64"/>
      <c r="C753" s="64"/>
      <c r="D753" s="64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64"/>
      <c r="C754" s="64"/>
      <c r="D754" s="64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64"/>
      <c r="C755" s="64"/>
      <c r="D755" s="64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64"/>
      <c r="C756" s="64"/>
      <c r="D756" s="64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64"/>
      <c r="C757" s="64"/>
      <c r="D757" s="64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64"/>
      <c r="C758" s="64"/>
      <c r="D758" s="64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64"/>
      <c r="C759" s="64"/>
      <c r="D759" s="64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64"/>
      <c r="C760" s="64"/>
      <c r="D760" s="64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64"/>
      <c r="C761" s="64"/>
      <c r="D761" s="64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64"/>
      <c r="C762" s="64"/>
      <c r="D762" s="64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64"/>
      <c r="C763" s="64"/>
      <c r="D763" s="64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64"/>
      <c r="C764" s="64"/>
      <c r="D764" s="64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64"/>
      <c r="C765" s="64"/>
      <c r="D765" s="64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64"/>
      <c r="C766" s="64"/>
      <c r="D766" s="64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64"/>
      <c r="C767" s="64"/>
      <c r="D767" s="64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64"/>
      <c r="C768" s="64"/>
      <c r="D768" s="64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64"/>
      <c r="C769" s="64"/>
      <c r="D769" s="64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64"/>
      <c r="C770" s="64"/>
      <c r="D770" s="64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64"/>
      <c r="C771" s="64"/>
      <c r="D771" s="64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64"/>
      <c r="C772" s="64"/>
      <c r="D772" s="64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64"/>
      <c r="C773" s="64"/>
      <c r="D773" s="64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64"/>
      <c r="C774" s="64"/>
      <c r="D774" s="64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64"/>
      <c r="C775" s="64"/>
      <c r="D775" s="64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64"/>
      <c r="C776" s="64"/>
      <c r="D776" s="64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64"/>
      <c r="C777" s="64"/>
      <c r="D777" s="64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64"/>
      <c r="C778" s="64"/>
      <c r="D778" s="64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64"/>
      <c r="C779" s="64"/>
      <c r="D779" s="64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64"/>
      <c r="C780" s="64"/>
      <c r="D780" s="64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64"/>
      <c r="C781" s="64"/>
      <c r="D781" s="64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64"/>
      <c r="C782" s="64"/>
      <c r="D782" s="64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64"/>
      <c r="C783" s="64"/>
      <c r="D783" s="64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64"/>
      <c r="C784" s="64"/>
      <c r="D784" s="64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64"/>
      <c r="C785" s="64"/>
      <c r="D785" s="64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64"/>
      <c r="C786" s="64"/>
      <c r="D786" s="64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64"/>
      <c r="C787" s="64"/>
      <c r="D787" s="64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64"/>
      <c r="C788" s="64"/>
      <c r="D788" s="64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64"/>
      <c r="C789" s="64"/>
      <c r="D789" s="64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64"/>
      <c r="C790" s="64"/>
      <c r="D790" s="64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64"/>
      <c r="C791" s="64"/>
      <c r="D791" s="64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64"/>
      <c r="C792" s="64"/>
      <c r="D792" s="64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64"/>
      <c r="C793" s="64"/>
      <c r="D793" s="64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64"/>
      <c r="C794" s="64"/>
      <c r="D794" s="64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64"/>
      <c r="C795" s="64"/>
      <c r="D795" s="64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64"/>
      <c r="C796" s="64"/>
      <c r="D796" s="64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64"/>
      <c r="C797" s="64"/>
      <c r="D797" s="64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64"/>
      <c r="C798" s="64"/>
      <c r="D798" s="64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64"/>
      <c r="C799" s="64"/>
      <c r="D799" s="64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64"/>
      <c r="C800" s="64"/>
      <c r="D800" s="64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64"/>
      <c r="C801" s="64"/>
      <c r="D801" s="64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64"/>
      <c r="C802" s="64"/>
      <c r="D802" s="64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64"/>
      <c r="C803" s="64"/>
      <c r="D803" s="64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64"/>
      <c r="C804" s="64"/>
      <c r="D804" s="64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64"/>
      <c r="C805" s="64"/>
      <c r="D805" s="64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64"/>
      <c r="C806" s="64"/>
      <c r="D806" s="64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64"/>
      <c r="C807" s="64"/>
      <c r="D807" s="64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64"/>
      <c r="C808" s="64"/>
      <c r="D808" s="64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64"/>
      <c r="C809" s="64"/>
      <c r="D809" s="64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64"/>
      <c r="C810" s="64"/>
      <c r="D810" s="64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64"/>
      <c r="C811" s="64"/>
      <c r="D811" s="64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64"/>
      <c r="C812" s="64"/>
      <c r="D812" s="64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64"/>
      <c r="C813" s="64"/>
      <c r="D813" s="64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64"/>
      <c r="C814" s="64"/>
      <c r="D814" s="64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64"/>
      <c r="C815" s="64"/>
      <c r="D815" s="64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64"/>
      <c r="C816" s="64"/>
      <c r="D816" s="64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64"/>
      <c r="C817" s="64"/>
      <c r="D817" s="64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64"/>
      <c r="C818" s="64"/>
      <c r="D818" s="64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64"/>
      <c r="C819" s="64"/>
      <c r="D819" s="64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64"/>
      <c r="C820" s="64"/>
      <c r="D820" s="64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64"/>
      <c r="C821" s="64"/>
      <c r="D821" s="64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64"/>
      <c r="C822" s="64"/>
      <c r="D822" s="64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64"/>
      <c r="C823" s="64"/>
      <c r="D823" s="64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64"/>
      <c r="C824" s="64"/>
      <c r="D824" s="64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64"/>
      <c r="C825" s="64"/>
      <c r="D825" s="64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64"/>
      <c r="C826" s="64"/>
      <c r="D826" s="64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64"/>
      <c r="C827" s="64"/>
      <c r="D827" s="64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64"/>
      <c r="C828" s="64"/>
      <c r="D828" s="64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64"/>
      <c r="C829" s="64"/>
      <c r="D829" s="64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64"/>
      <c r="C830" s="64"/>
      <c r="D830" s="64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64"/>
      <c r="C831" s="64"/>
      <c r="D831" s="64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64"/>
      <c r="C832" s="64"/>
      <c r="D832" s="64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64"/>
      <c r="C833" s="64"/>
      <c r="D833" s="64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64"/>
      <c r="C834" s="64"/>
      <c r="D834" s="64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64"/>
      <c r="C835" s="64"/>
      <c r="D835" s="64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64"/>
      <c r="C836" s="64"/>
      <c r="D836" s="64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64"/>
      <c r="C837" s="64"/>
      <c r="D837" s="64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64"/>
      <c r="C838" s="64"/>
      <c r="D838" s="64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64"/>
      <c r="C839" s="64"/>
      <c r="D839" s="64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64"/>
      <c r="C840" s="64"/>
      <c r="D840" s="64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64"/>
      <c r="C841" s="64"/>
      <c r="D841" s="64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64"/>
      <c r="C842" s="64"/>
      <c r="D842" s="64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64"/>
      <c r="C843" s="64"/>
      <c r="D843" s="64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64"/>
      <c r="C844" s="64"/>
      <c r="D844" s="64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64"/>
      <c r="C845" s="64"/>
      <c r="D845" s="64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64"/>
      <c r="C846" s="64"/>
      <c r="D846" s="64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64"/>
      <c r="C847" s="64"/>
      <c r="D847" s="64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64"/>
      <c r="C848" s="64"/>
      <c r="D848" s="64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64"/>
      <c r="C849" s="64"/>
      <c r="D849" s="64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64"/>
      <c r="C850" s="64"/>
      <c r="D850" s="64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64"/>
      <c r="C851" s="64"/>
      <c r="D851" s="64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64"/>
      <c r="C852" s="64"/>
      <c r="D852" s="64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64"/>
      <c r="C853" s="64"/>
      <c r="D853" s="64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64"/>
      <c r="C854" s="64"/>
      <c r="D854" s="64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64"/>
      <c r="C855" s="64"/>
      <c r="D855" s="64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64"/>
      <c r="C856" s="64"/>
      <c r="D856" s="64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64"/>
      <c r="C857" s="64"/>
      <c r="D857" s="64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64"/>
      <c r="C858" s="64"/>
      <c r="D858" s="64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64"/>
      <c r="C859" s="64"/>
      <c r="D859" s="64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64"/>
      <c r="C860" s="64"/>
      <c r="D860" s="64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64"/>
      <c r="C861" s="64"/>
      <c r="D861" s="64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64"/>
      <c r="C862" s="64"/>
      <c r="D862" s="64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64"/>
      <c r="C863" s="64"/>
      <c r="D863" s="64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64"/>
      <c r="C864" s="64"/>
      <c r="D864" s="64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64"/>
      <c r="C865" s="64"/>
      <c r="D865" s="64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64"/>
      <c r="C866" s="64"/>
      <c r="D866" s="64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64"/>
      <c r="C867" s="64"/>
      <c r="D867" s="64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64"/>
      <c r="C868" s="64"/>
      <c r="D868" s="64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64"/>
      <c r="C869" s="64"/>
      <c r="D869" s="64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64"/>
      <c r="C870" s="64"/>
      <c r="D870" s="64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64"/>
      <c r="C871" s="64"/>
      <c r="D871" s="64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64"/>
      <c r="C872" s="64"/>
      <c r="D872" s="64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64"/>
      <c r="C873" s="64"/>
      <c r="D873" s="64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64"/>
      <c r="C874" s="64"/>
      <c r="D874" s="64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64"/>
      <c r="C875" s="64"/>
      <c r="D875" s="64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64"/>
      <c r="C876" s="64"/>
      <c r="D876" s="64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64"/>
      <c r="C877" s="64"/>
      <c r="D877" s="64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64"/>
      <c r="C878" s="64"/>
      <c r="D878" s="64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64"/>
      <c r="C879" s="64"/>
      <c r="D879" s="64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64"/>
      <c r="C880" s="64"/>
      <c r="D880" s="64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64"/>
      <c r="C881" s="64"/>
      <c r="D881" s="64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64"/>
      <c r="C882" s="64"/>
      <c r="D882" s="64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64"/>
      <c r="C883" s="64"/>
      <c r="D883" s="64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64"/>
      <c r="C884" s="64"/>
      <c r="D884" s="64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64"/>
      <c r="C885" s="64"/>
      <c r="D885" s="64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64"/>
      <c r="C886" s="64"/>
      <c r="D886" s="64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64"/>
      <c r="C887" s="64"/>
      <c r="D887" s="64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64"/>
      <c r="C888" s="64"/>
      <c r="D888" s="64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64"/>
      <c r="C889" s="64"/>
      <c r="D889" s="64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64"/>
      <c r="C890" s="64"/>
      <c r="D890" s="64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64"/>
      <c r="C891" s="64"/>
      <c r="D891" s="64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64"/>
      <c r="C892" s="64"/>
      <c r="D892" s="64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64"/>
      <c r="C893" s="64"/>
      <c r="D893" s="64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64"/>
      <c r="C894" s="64"/>
      <c r="D894" s="64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64"/>
      <c r="C895" s="64"/>
      <c r="D895" s="64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64"/>
      <c r="C896" s="64"/>
      <c r="D896" s="64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64"/>
      <c r="C897" s="64"/>
      <c r="D897" s="64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64"/>
      <c r="C898" s="64"/>
      <c r="D898" s="64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64"/>
      <c r="C899" s="64"/>
      <c r="D899" s="64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64"/>
      <c r="C900" s="64"/>
      <c r="D900" s="64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64"/>
      <c r="C901" s="64"/>
      <c r="D901" s="64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64"/>
      <c r="C902" s="64"/>
      <c r="D902" s="64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64"/>
      <c r="C903" s="64"/>
      <c r="D903" s="64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64"/>
      <c r="C904" s="64"/>
      <c r="D904" s="64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64"/>
      <c r="C905" s="64"/>
      <c r="D905" s="64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64"/>
      <c r="C906" s="64"/>
      <c r="D906" s="64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64"/>
      <c r="C907" s="64"/>
      <c r="D907" s="64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64"/>
      <c r="C908" s="64"/>
      <c r="D908" s="64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64"/>
      <c r="C909" s="64"/>
      <c r="D909" s="64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64"/>
      <c r="C910" s="64"/>
      <c r="D910" s="64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64"/>
      <c r="C911" s="64"/>
      <c r="D911" s="64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64"/>
      <c r="C912" s="64"/>
      <c r="D912" s="64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64"/>
      <c r="C913" s="64"/>
      <c r="D913" s="64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64"/>
      <c r="C914" s="64"/>
      <c r="D914" s="64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64"/>
      <c r="C915" s="64"/>
      <c r="D915" s="64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64"/>
      <c r="C916" s="64"/>
      <c r="D916" s="64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64"/>
      <c r="C917" s="64"/>
      <c r="D917" s="64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64"/>
      <c r="C918" s="64"/>
      <c r="D918" s="64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64"/>
      <c r="C919" s="64"/>
      <c r="D919" s="64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64"/>
      <c r="C920" s="64"/>
      <c r="D920" s="64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64"/>
      <c r="C921" s="64"/>
      <c r="D921" s="64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64"/>
      <c r="C922" s="64"/>
      <c r="D922" s="64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64"/>
      <c r="C923" s="64"/>
      <c r="D923" s="64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64"/>
      <c r="C924" s="64"/>
      <c r="D924" s="64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64"/>
      <c r="C925" s="64"/>
      <c r="D925" s="64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64"/>
      <c r="C926" s="64"/>
      <c r="D926" s="64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64"/>
      <c r="C927" s="64"/>
      <c r="D927" s="64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64"/>
      <c r="C928" s="64"/>
      <c r="D928" s="64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64"/>
      <c r="C929" s="64"/>
      <c r="D929" s="64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64"/>
      <c r="C930" s="64"/>
      <c r="D930" s="64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64"/>
      <c r="C931" s="64"/>
      <c r="D931" s="64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64"/>
      <c r="C932" s="64"/>
      <c r="D932" s="64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64"/>
      <c r="C933" s="64"/>
      <c r="D933" s="64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64"/>
      <c r="C934" s="64"/>
      <c r="D934" s="64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64"/>
      <c r="C935" s="64"/>
      <c r="D935" s="64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64"/>
      <c r="C936" s="64"/>
      <c r="D936" s="64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64"/>
      <c r="C937" s="64"/>
      <c r="D937" s="64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64"/>
      <c r="C938" s="64"/>
      <c r="D938" s="64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64"/>
      <c r="C939" s="64"/>
      <c r="D939" s="64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64"/>
      <c r="C940" s="64"/>
      <c r="D940" s="64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64"/>
      <c r="C941" s="64"/>
      <c r="D941" s="64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64"/>
      <c r="C942" s="64"/>
      <c r="D942" s="64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64"/>
      <c r="C943" s="64"/>
      <c r="D943" s="64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64"/>
      <c r="C944" s="64"/>
      <c r="D944" s="64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64"/>
      <c r="C945" s="64"/>
      <c r="D945" s="64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64"/>
      <c r="C946" s="64"/>
      <c r="D946" s="64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64"/>
      <c r="C947" s="64"/>
      <c r="D947" s="64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64"/>
      <c r="C948" s="64"/>
      <c r="D948" s="64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64"/>
      <c r="C949" s="64"/>
      <c r="D949" s="64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64"/>
      <c r="C950" s="64"/>
      <c r="D950" s="64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64"/>
      <c r="C951" s="64"/>
      <c r="D951" s="64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64"/>
      <c r="C952" s="64"/>
      <c r="D952" s="64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64"/>
      <c r="C953" s="64"/>
      <c r="D953" s="64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64"/>
      <c r="C954" s="64"/>
      <c r="D954" s="64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64"/>
      <c r="C955" s="64"/>
      <c r="D955" s="64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64"/>
      <c r="C956" s="64"/>
      <c r="D956" s="64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64"/>
      <c r="C957" s="64"/>
      <c r="D957" s="64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64"/>
      <c r="C958" s="64"/>
      <c r="D958" s="64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64"/>
      <c r="C959" s="64"/>
      <c r="D959" s="64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64"/>
      <c r="C960" s="64"/>
      <c r="D960" s="64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64"/>
      <c r="C961" s="64"/>
      <c r="D961" s="64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64"/>
      <c r="C962" s="64"/>
      <c r="D962" s="64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64"/>
      <c r="C963" s="64"/>
      <c r="D963" s="64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64"/>
      <c r="C964" s="64"/>
      <c r="D964" s="64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64"/>
      <c r="C965" s="64"/>
      <c r="D965" s="64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64"/>
      <c r="C966" s="64"/>
      <c r="D966" s="64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64"/>
      <c r="C967" s="64"/>
      <c r="D967" s="64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64"/>
      <c r="C968" s="64"/>
      <c r="D968" s="64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64"/>
      <c r="C969" s="64"/>
      <c r="D969" s="64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64"/>
      <c r="C970" s="64"/>
      <c r="D970" s="64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64"/>
      <c r="C971" s="64"/>
      <c r="D971" s="64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64"/>
      <c r="C972" s="64"/>
      <c r="D972" s="64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64"/>
      <c r="C973" s="64"/>
      <c r="D973" s="64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64"/>
      <c r="C974" s="64"/>
      <c r="D974" s="64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64"/>
      <c r="C975" s="64"/>
      <c r="D975" s="64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64"/>
      <c r="C976" s="64"/>
      <c r="D976" s="64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64"/>
      <c r="C977" s="64"/>
      <c r="D977" s="64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64"/>
      <c r="C978" s="64"/>
      <c r="D978" s="64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64"/>
      <c r="C979" s="64"/>
      <c r="D979" s="64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64"/>
      <c r="C980" s="64"/>
      <c r="D980" s="64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64"/>
      <c r="C981" s="64"/>
      <c r="D981" s="64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64"/>
      <c r="C982" s="64"/>
      <c r="D982" s="64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64"/>
      <c r="C983" s="64"/>
      <c r="D983" s="64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64"/>
      <c r="C984" s="64"/>
      <c r="D984" s="64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64"/>
      <c r="C985" s="64"/>
      <c r="D985" s="64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64"/>
      <c r="C986" s="64"/>
      <c r="D986" s="64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64"/>
      <c r="C987" s="64"/>
      <c r="D987" s="64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64"/>
      <c r="C988" s="64"/>
      <c r="D988" s="64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64"/>
      <c r="C989" s="64"/>
      <c r="D989" s="64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64"/>
      <c r="C990" s="64"/>
      <c r="D990" s="64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64"/>
      <c r="C991" s="64"/>
      <c r="D991" s="64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64"/>
      <c r="C992" s="64"/>
      <c r="D992" s="64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64"/>
      <c r="C993" s="64"/>
      <c r="D993" s="64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64"/>
      <c r="C994" s="64"/>
      <c r="D994" s="64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64"/>
      <c r="C995" s="64"/>
      <c r="D995" s="64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64"/>
      <c r="C996" s="64"/>
      <c r="D996" s="64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64"/>
      <c r="C997" s="64"/>
      <c r="D997" s="64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64"/>
      <c r="C998" s="64"/>
      <c r="D998" s="64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64"/>
      <c r="C999" s="64"/>
      <c r="D999" s="64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64"/>
      <c r="C1000" s="64"/>
      <c r="D1000" s="64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74"/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5"/>
      <c r="V1" s="75"/>
      <c r="W1" s="75"/>
      <c r="X1" s="75"/>
      <c r="Y1" s="75"/>
      <c r="Z1" s="75"/>
    </row>
    <row r="2">
      <c r="A2" s="76" t="s">
        <v>49</v>
      </c>
      <c r="B2" s="77">
        <v>46075.745462962965</v>
      </c>
      <c r="C2" s="76" t="s">
        <v>50</v>
      </c>
      <c r="D2" s="74"/>
      <c r="E2" s="74"/>
      <c r="F2" s="74"/>
      <c r="G2" s="76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8"/>
      <c r="V2" s="78"/>
      <c r="W2" s="78"/>
      <c r="X2" s="78"/>
      <c r="Y2" s="78"/>
      <c r="Z2" s="78"/>
    </row>
    <row r="3">
      <c r="A3" s="79" t="s">
        <v>51</v>
      </c>
      <c r="B3" s="80">
        <v>5101.24</v>
      </c>
      <c r="C3" s="79" t="s">
        <v>52</v>
      </c>
      <c r="D3" s="68"/>
      <c r="E3" s="68"/>
      <c r="F3" s="68"/>
      <c r="G3" s="79" t="s">
        <v>53</v>
      </c>
      <c r="H3" s="68"/>
      <c r="I3" s="68"/>
      <c r="J3" s="68"/>
      <c r="K3" s="68"/>
      <c r="L3" s="68"/>
      <c r="M3" s="70"/>
      <c r="N3" s="70"/>
      <c r="O3" s="70"/>
      <c r="P3" s="70"/>
      <c r="Q3" s="70"/>
      <c r="R3" s="70"/>
      <c r="S3" s="70"/>
      <c r="T3" s="70"/>
      <c r="U3" s="81"/>
      <c r="V3" s="81"/>
      <c r="W3" s="81"/>
      <c r="X3" s="81"/>
      <c r="Y3" s="81"/>
      <c r="Z3" s="81"/>
    </row>
    <row r="4">
      <c r="A4" s="79" t="s">
        <v>54</v>
      </c>
      <c r="B4" s="80">
        <v>35300.58</v>
      </c>
      <c r="C4" s="79" t="s">
        <v>55</v>
      </c>
      <c r="D4" s="79"/>
      <c r="E4" s="79"/>
      <c r="F4" s="79"/>
      <c r="G4" s="79"/>
      <c r="H4" s="79"/>
      <c r="I4" s="68"/>
      <c r="J4" s="68"/>
      <c r="K4" s="68"/>
      <c r="L4" s="68"/>
      <c r="M4" s="70"/>
      <c r="N4" s="70"/>
      <c r="O4" s="70"/>
      <c r="P4" s="70"/>
      <c r="Q4" s="70"/>
      <c r="R4" s="70"/>
      <c r="S4" s="70"/>
      <c r="T4" s="70"/>
      <c r="U4" s="78"/>
      <c r="V4" s="78"/>
      <c r="W4" s="78"/>
      <c r="X4" s="78"/>
      <c r="Y4" s="78"/>
      <c r="Z4" s="78"/>
    </row>
    <row r="5">
      <c r="A5" s="79" t="s">
        <v>56</v>
      </c>
      <c r="B5" s="80" t="s">
        <v>57</v>
      </c>
      <c r="C5" s="79" t="s">
        <v>58</v>
      </c>
      <c r="D5" s="79" t="s">
        <v>59</v>
      </c>
      <c r="E5" s="79" t="s">
        <v>60</v>
      </c>
      <c r="F5" s="79" t="s">
        <v>61</v>
      </c>
      <c r="G5" s="79" t="s">
        <v>62</v>
      </c>
      <c r="H5" s="79" t="s">
        <v>63</v>
      </c>
      <c r="I5" s="68"/>
      <c r="J5" s="68"/>
      <c r="K5" s="68"/>
      <c r="L5" s="68"/>
      <c r="M5" s="70"/>
      <c r="N5" s="70"/>
      <c r="O5" s="70"/>
      <c r="P5" s="70"/>
      <c r="Q5" s="70"/>
      <c r="R5" s="70"/>
      <c r="S5" s="70"/>
      <c r="T5" s="70"/>
      <c r="U5" s="81"/>
      <c r="V5" s="81"/>
      <c r="W5" s="81"/>
      <c r="X5" s="81"/>
      <c r="Y5" s="81"/>
      <c r="Z5" s="81"/>
    </row>
    <row r="6">
      <c r="A6" s="79" t="s">
        <v>59</v>
      </c>
      <c r="B6" s="80" t="s">
        <v>57</v>
      </c>
      <c r="C6" s="79" t="s">
        <v>64</v>
      </c>
      <c r="D6" s="68"/>
      <c r="E6" s="79" t="s">
        <v>65</v>
      </c>
      <c r="F6" s="79" t="s">
        <v>66</v>
      </c>
      <c r="G6" s="79" t="s">
        <v>67</v>
      </c>
      <c r="H6" s="79" t="s">
        <v>68</v>
      </c>
      <c r="I6" s="68"/>
      <c r="J6" s="68"/>
      <c r="K6" s="68"/>
      <c r="L6" s="68"/>
      <c r="M6" s="70"/>
      <c r="N6" s="70"/>
      <c r="O6" s="70"/>
      <c r="P6" s="70"/>
      <c r="Q6" s="70"/>
      <c r="R6" s="70"/>
      <c r="S6" s="70"/>
      <c r="T6" s="70"/>
      <c r="U6" s="78"/>
      <c r="V6" s="78"/>
      <c r="W6" s="78"/>
      <c r="X6" s="78"/>
      <c r="Y6" s="78"/>
      <c r="Z6" s="78"/>
    </row>
    <row r="7">
      <c r="A7" s="79" t="s">
        <v>62</v>
      </c>
      <c r="B7" s="80">
        <v>6.92</v>
      </c>
      <c r="C7" s="79" t="s">
        <v>69</v>
      </c>
      <c r="D7" s="68"/>
      <c r="E7" s="68"/>
      <c r="F7" s="68"/>
      <c r="G7" s="68"/>
      <c r="H7" s="68"/>
      <c r="I7" s="68"/>
      <c r="J7" s="68"/>
      <c r="K7" s="68"/>
      <c r="L7" s="68"/>
      <c r="M7" s="70"/>
      <c r="N7" s="70"/>
      <c r="O7" s="70"/>
      <c r="P7" s="70"/>
      <c r="Q7" s="70"/>
      <c r="R7" s="70"/>
      <c r="S7" s="70"/>
      <c r="T7" s="70"/>
      <c r="U7" s="81"/>
      <c r="V7" s="81"/>
      <c r="W7" s="81"/>
      <c r="X7" s="81"/>
      <c r="Y7" s="81"/>
      <c r="Z7" s="81"/>
    </row>
    <row r="8">
      <c r="A8" s="79" t="s">
        <v>70</v>
      </c>
      <c r="B8" s="80" t="s">
        <v>71</v>
      </c>
      <c r="C8" s="79" t="s">
        <v>72</v>
      </c>
      <c r="D8" s="79"/>
      <c r="E8" s="79"/>
      <c r="F8" s="79"/>
      <c r="G8" s="79"/>
      <c r="H8" s="79"/>
      <c r="I8" s="68"/>
      <c r="J8" s="68"/>
      <c r="K8" s="68"/>
      <c r="L8" s="68"/>
      <c r="M8" s="70"/>
      <c r="N8" s="70"/>
      <c r="O8" s="70"/>
      <c r="P8" s="70"/>
      <c r="Q8" s="70"/>
      <c r="R8" s="70"/>
      <c r="S8" s="70"/>
      <c r="T8" s="70"/>
      <c r="U8" s="78"/>
      <c r="V8" s="78"/>
      <c r="W8" s="78"/>
      <c r="X8" s="78"/>
      <c r="Y8" s="78"/>
      <c r="Z8" s="78"/>
    </row>
    <row r="9">
      <c r="A9" s="79" t="s">
        <v>73</v>
      </c>
      <c r="B9" s="80" t="s">
        <v>74</v>
      </c>
      <c r="C9" s="79" t="s">
        <v>75</v>
      </c>
      <c r="D9" s="79" t="s">
        <v>76</v>
      </c>
      <c r="E9" s="79" t="s">
        <v>77</v>
      </c>
      <c r="F9" s="79" t="s">
        <v>73</v>
      </c>
      <c r="G9" s="79" t="s">
        <v>12</v>
      </c>
      <c r="H9" s="79" t="s">
        <v>78</v>
      </c>
      <c r="I9" s="68"/>
      <c r="J9" s="68"/>
      <c r="K9" s="68"/>
      <c r="L9" s="68"/>
      <c r="M9" s="70"/>
      <c r="N9" s="70"/>
      <c r="O9" s="70"/>
      <c r="P9" s="70"/>
      <c r="Q9" s="70"/>
      <c r="R9" s="70"/>
      <c r="S9" s="70"/>
      <c r="T9" s="70"/>
      <c r="U9" s="81"/>
      <c r="V9" s="81"/>
      <c r="W9" s="81"/>
      <c r="X9" s="81"/>
      <c r="Y9" s="81"/>
      <c r="Z9" s="81"/>
    </row>
    <row r="10">
      <c r="A10" s="79" t="s">
        <v>79</v>
      </c>
      <c r="B10" s="80" t="s">
        <v>80</v>
      </c>
      <c r="C10" s="79" t="s">
        <v>81</v>
      </c>
      <c r="D10" s="79" t="s">
        <v>82</v>
      </c>
      <c r="E10" s="79" t="s">
        <v>83</v>
      </c>
      <c r="F10" s="79" t="s">
        <v>84</v>
      </c>
      <c r="G10" s="79" t="s">
        <v>85</v>
      </c>
      <c r="H10" s="79" t="s">
        <v>86</v>
      </c>
      <c r="I10" s="68"/>
      <c r="J10" s="68"/>
      <c r="K10" s="68"/>
      <c r="L10" s="68"/>
      <c r="M10" s="70"/>
      <c r="N10" s="70"/>
      <c r="O10" s="70"/>
      <c r="P10" s="70"/>
      <c r="Q10" s="70"/>
      <c r="R10" s="70"/>
      <c r="S10" s="70"/>
      <c r="T10" s="70"/>
      <c r="U10" s="78"/>
      <c r="V10" s="78"/>
      <c r="W10" s="78"/>
      <c r="X10" s="78"/>
      <c r="Y10" s="78"/>
      <c r="Z10" s="78"/>
    </row>
    <row r="11">
      <c r="A11" s="68"/>
      <c r="B11" s="69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70"/>
      <c r="N11" s="70"/>
      <c r="O11" s="70"/>
      <c r="P11" s="70"/>
      <c r="Q11" s="70"/>
      <c r="R11" s="70"/>
      <c r="S11" s="70"/>
      <c r="T11" s="70"/>
      <c r="U11" s="81"/>
      <c r="V11" s="81"/>
      <c r="W11" s="81"/>
      <c r="X11" s="81"/>
      <c r="Y11" s="81"/>
      <c r="Z11" s="81"/>
    </row>
    <row r="12">
      <c r="A12" s="79"/>
      <c r="B12" s="80"/>
      <c r="C12" s="79"/>
      <c r="D12" s="79"/>
      <c r="E12" s="79"/>
      <c r="F12" s="79"/>
      <c r="G12" s="79"/>
      <c r="H12" s="79"/>
      <c r="I12" s="68"/>
      <c r="J12" s="68"/>
      <c r="K12" s="68"/>
      <c r="L12" s="68"/>
      <c r="M12" s="70"/>
      <c r="N12" s="70"/>
      <c r="O12" s="70"/>
      <c r="P12" s="70"/>
      <c r="Q12" s="70"/>
      <c r="R12" s="70"/>
      <c r="S12" s="70"/>
      <c r="T12" s="70"/>
      <c r="U12" s="78"/>
      <c r="V12" s="78"/>
      <c r="W12" s="78"/>
      <c r="X12" s="78"/>
      <c r="Y12" s="78"/>
      <c r="Z12" s="78"/>
    </row>
    <row r="13">
      <c r="A13" s="79" t="s">
        <v>87</v>
      </c>
      <c r="B13" s="80" t="s">
        <v>88</v>
      </c>
      <c r="C13" s="79" t="s">
        <v>89</v>
      </c>
      <c r="D13" s="79" t="s">
        <v>90</v>
      </c>
      <c r="E13" s="79" t="s">
        <v>91</v>
      </c>
      <c r="F13" s="79" t="s">
        <v>92</v>
      </c>
      <c r="G13" s="79" t="s">
        <v>93</v>
      </c>
      <c r="H13" s="79" t="s">
        <v>94</v>
      </c>
      <c r="I13" s="68"/>
      <c r="J13" s="68"/>
      <c r="K13" s="68"/>
      <c r="L13" s="68"/>
      <c r="M13" s="70"/>
      <c r="N13" s="70"/>
      <c r="O13" s="70"/>
      <c r="P13" s="70"/>
      <c r="Q13" s="70"/>
      <c r="R13" s="70"/>
      <c r="S13" s="70"/>
      <c r="T13" s="70"/>
      <c r="U13" s="81"/>
      <c r="V13" s="81"/>
      <c r="W13" s="81"/>
      <c r="X13" s="81"/>
      <c r="Y13" s="81"/>
      <c r="Z13" s="81"/>
    </row>
    <row r="14">
      <c r="A14" s="79" t="s">
        <v>95</v>
      </c>
      <c r="B14" s="69"/>
      <c r="C14" s="79">
        <v>0.0</v>
      </c>
      <c r="D14" s="79">
        <v>0.0</v>
      </c>
      <c r="E14" s="79" t="s">
        <v>96</v>
      </c>
      <c r="F14" s="79" t="s">
        <v>97</v>
      </c>
      <c r="G14" s="79" t="s">
        <v>98</v>
      </c>
      <c r="H14" s="79" t="s">
        <v>99</v>
      </c>
      <c r="I14" s="68"/>
      <c r="J14" s="68"/>
      <c r="K14" s="68"/>
      <c r="L14" s="68"/>
      <c r="M14" s="70"/>
      <c r="N14" s="70"/>
      <c r="O14" s="70"/>
      <c r="P14" s="70"/>
      <c r="Q14" s="70"/>
      <c r="R14" s="70"/>
      <c r="S14" s="70"/>
      <c r="T14" s="70"/>
      <c r="U14" s="78"/>
      <c r="V14" s="78"/>
      <c r="W14" s="78"/>
      <c r="X14" s="78"/>
      <c r="Y14" s="78"/>
      <c r="Z14" s="78"/>
    </row>
    <row r="15">
      <c r="A15" s="68"/>
      <c r="B15" s="69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70"/>
      <c r="N15" s="70"/>
      <c r="O15" s="70"/>
      <c r="P15" s="70"/>
      <c r="Q15" s="70"/>
      <c r="R15" s="70"/>
      <c r="S15" s="70"/>
      <c r="T15" s="70"/>
      <c r="U15" s="81"/>
      <c r="V15" s="81"/>
      <c r="W15" s="81"/>
      <c r="X15" s="81"/>
      <c r="Y15" s="81"/>
      <c r="Z15" s="81"/>
    </row>
    <row r="16">
      <c r="A16" s="68"/>
      <c r="B16" s="69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70"/>
      <c r="N16" s="70"/>
      <c r="O16" s="70"/>
      <c r="P16" s="70"/>
      <c r="Q16" s="70"/>
      <c r="R16" s="70"/>
      <c r="S16" s="70"/>
      <c r="T16" s="70"/>
      <c r="U16" s="78"/>
      <c r="V16" s="78"/>
      <c r="W16" s="78"/>
      <c r="X16" s="78"/>
      <c r="Y16" s="78"/>
      <c r="Z16" s="78"/>
    </row>
    <row r="17">
      <c r="A17" s="68"/>
      <c r="B17" s="69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70"/>
      <c r="N17" s="70"/>
      <c r="O17" s="70"/>
      <c r="P17" s="70"/>
      <c r="Q17" s="70"/>
      <c r="R17" s="70"/>
      <c r="S17" s="70"/>
      <c r="T17" s="70"/>
      <c r="U17" s="81"/>
      <c r="V17" s="81"/>
      <c r="W17" s="81"/>
      <c r="X17" s="81"/>
      <c r="Y17" s="81"/>
      <c r="Z17" s="81"/>
    </row>
    <row r="18">
      <c r="A18" s="68"/>
      <c r="B18" s="69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70"/>
      <c r="N18" s="70"/>
      <c r="O18" s="70"/>
      <c r="P18" s="70"/>
      <c r="Q18" s="70"/>
      <c r="R18" s="70"/>
      <c r="S18" s="70"/>
      <c r="T18" s="70"/>
      <c r="U18" s="78"/>
      <c r="V18" s="78"/>
      <c r="W18" s="78"/>
      <c r="X18" s="78"/>
      <c r="Y18" s="78"/>
      <c r="Z18" s="78"/>
    </row>
    <row r="19">
      <c r="A19" s="68"/>
      <c r="B19" s="69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70"/>
      <c r="N19" s="70"/>
      <c r="O19" s="70"/>
      <c r="P19" s="70"/>
      <c r="Q19" s="70"/>
      <c r="R19" s="70"/>
      <c r="S19" s="70"/>
      <c r="T19" s="70"/>
      <c r="U19" s="81"/>
      <c r="V19" s="81"/>
      <c r="W19" s="81"/>
      <c r="X19" s="81"/>
      <c r="Y19" s="81"/>
      <c r="Z19" s="81"/>
    </row>
    <row r="20">
      <c r="A20" s="68"/>
      <c r="B20" s="69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70"/>
      <c r="N20" s="70"/>
      <c r="O20" s="70"/>
      <c r="P20" s="70"/>
      <c r="Q20" s="70"/>
      <c r="R20" s="70"/>
      <c r="S20" s="70"/>
      <c r="T20" s="70"/>
      <c r="U20" s="78"/>
      <c r="V20" s="78"/>
      <c r="W20" s="78"/>
      <c r="X20" s="78"/>
      <c r="Y20" s="78"/>
      <c r="Z20" s="78"/>
    </row>
    <row r="21">
      <c r="A21" s="68"/>
      <c r="B21" s="69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70"/>
      <c r="N21" s="70"/>
      <c r="O21" s="70"/>
      <c r="P21" s="70"/>
      <c r="Q21" s="70"/>
      <c r="R21" s="70"/>
      <c r="S21" s="70"/>
      <c r="T21" s="70"/>
      <c r="U21" s="81"/>
      <c r="V21" s="81"/>
      <c r="W21" s="81"/>
      <c r="X21" s="81"/>
      <c r="Y21" s="81"/>
      <c r="Z21" s="81"/>
    </row>
    <row r="22">
      <c r="A22" s="68"/>
      <c r="B22" s="69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70"/>
      <c r="N22" s="70"/>
      <c r="O22" s="70"/>
      <c r="P22" s="70"/>
      <c r="Q22" s="70"/>
      <c r="R22" s="70"/>
      <c r="S22" s="70"/>
      <c r="T22" s="70"/>
      <c r="U22" s="78"/>
      <c r="V22" s="78"/>
      <c r="W22" s="78"/>
      <c r="X22" s="78"/>
      <c r="Y22" s="78"/>
      <c r="Z22" s="78"/>
    </row>
    <row r="23">
      <c r="A23" s="68"/>
      <c r="B23" s="69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70"/>
      <c r="N23" s="70"/>
      <c r="O23" s="70"/>
      <c r="P23" s="70"/>
      <c r="Q23" s="70"/>
      <c r="R23" s="70"/>
      <c r="S23" s="70"/>
      <c r="T23" s="70"/>
      <c r="U23" s="81"/>
      <c r="V23" s="81"/>
      <c r="W23" s="81"/>
      <c r="X23" s="81"/>
      <c r="Y23" s="81"/>
      <c r="Z23" s="81"/>
    </row>
    <row r="24">
      <c r="A24" s="68"/>
      <c r="B24" s="69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70"/>
      <c r="N24" s="70"/>
      <c r="O24" s="70"/>
      <c r="P24" s="70"/>
      <c r="Q24" s="70"/>
      <c r="R24" s="70"/>
      <c r="S24" s="70"/>
      <c r="T24" s="70"/>
      <c r="U24" s="78"/>
      <c r="V24" s="78"/>
      <c r="W24" s="78"/>
      <c r="X24" s="78"/>
      <c r="Y24" s="78"/>
      <c r="Z24" s="78"/>
    </row>
    <row r="25">
      <c r="A25" s="68"/>
      <c r="B25" s="69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70"/>
      <c r="N25" s="70"/>
      <c r="O25" s="70"/>
      <c r="P25" s="70"/>
      <c r="Q25" s="70"/>
      <c r="R25" s="70"/>
      <c r="S25" s="70"/>
      <c r="T25" s="70"/>
      <c r="U25" s="81"/>
      <c r="V25" s="81"/>
      <c r="W25" s="81"/>
      <c r="X25" s="81"/>
      <c r="Y25" s="81"/>
      <c r="Z25" s="81"/>
    </row>
    <row r="26">
      <c r="A26" s="68"/>
      <c r="B26" s="69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70"/>
      <c r="N26" s="70"/>
      <c r="O26" s="70"/>
      <c r="P26" s="70"/>
      <c r="Q26" s="70"/>
      <c r="R26" s="70"/>
      <c r="S26" s="70"/>
      <c r="T26" s="70"/>
      <c r="U26" s="78"/>
      <c r="V26" s="78"/>
      <c r="W26" s="78"/>
      <c r="X26" s="78"/>
      <c r="Y26" s="78"/>
      <c r="Z26" s="78"/>
    </row>
    <row r="27">
      <c r="A27" s="68"/>
      <c r="B27" s="69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70"/>
      <c r="N27" s="70"/>
      <c r="O27" s="70"/>
      <c r="P27" s="70"/>
      <c r="Q27" s="70"/>
      <c r="R27" s="70"/>
      <c r="S27" s="70"/>
      <c r="T27" s="70"/>
      <c r="U27" s="81"/>
      <c r="V27" s="81"/>
      <c r="W27" s="81"/>
      <c r="X27" s="81"/>
      <c r="Y27" s="81"/>
      <c r="Z27" s="81"/>
    </row>
    <row r="28">
      <c r="A28" s="68"/>
      <c r="B28" s="69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70"/>
      <c r="N28" s="70"/>
      <c r="O28" s="70"/>
      <c r="P28" s="70"/>
      <c r="Q28" s="70"/>
      <c r="R28" s="70"/>
      <c r="S28" s="70"/>
      <c r="T28" s="70"/>
      <c r="U28" s="78"/>
      <c r="V28" s="78"/>
      <c r="W28" s="78"/>
      <c r="X28" s="78"/>
      <c r="Y28" s="78"/>
      <c r="Z28" s="78"/>
    </row>
    <row r="29">
      <c r="A29" s="68"/>
      <c r="B29" s="69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70"/>
      <c r="N29" s="70"/>
      <c r="O29" s="70"/>
      <c r="P29" s="70"/>
      <c r="Q29" s="70"/>
      <c r="R29" s="70"/>
      <c r="S29" s="70"/>
      <c r="T29" s="70"/>
      <c r="U29" s="81"/>
      <c r="V29" s="81"/>
      <c r="W29" s="81"/>
      <c r="X29" s="81"/>
      <c r="Y29" s="81"/>
      <c r="Z29" s="81"/>
    </row>
    <row r="30">
      <c r="A30" s="68"/>
      <c r="B30" s="69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70"/>
      <c r="N30" s="70"/>
      <c r="O30" s="70"/>
      <c r="P30" s="70"/>
      <c r="Q30" s="70"/>
      <c r="R30" s="70"/>
      <c r="S30" s="70"/>
      <c r="T30" s="70"/>
      <c r="U30" s="78"/>
      <c r="V30" s="78"/>
      <c r="W30" s="78"/>
      <c r="X30" s="78"/>
      <c r="Y30" s="78"/>
      <c r="Z30" s="78"/>
    </row>
    <row r="31">
      <c r="A31" s="68"/>
      <c r="B31" s="69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70"/>
      <c r="N31" s="70"/>
      <c r="O31" s="70"/>
      <c r="P31" s="70"/>
      <c r="Q31" s="70"/>
      <c r="R31" s="70"/>
      <c r="S31" s="70"/>
      <c r="T31" s="70"/>
      <c r="U31" s="81"/>
      <c r="V31" s="81"/>
      <c r="W31" s="81"/>
      <c r="X31" s="81"/>
      <c r="Y31" s="81"/>
      <c r="Z31" s="81"/>
    </row>
    <row r="32">
      <c r="A32" s="68"/>
      <c r="B32" s="69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70"/>
      <c r="N32" s="70"/>
      <c r="O32" s="70"/>
      <c r="P32" s="70"/>
      <c r="Q32" s="70"/>
      <c r="R32" s="70"/>
      <c r="S32" s="70"/>
      <c r="T32" s="70"/>
      <c r="U32" s="78"/>
      <c r="V32" s="78"/>
      <c r="W32" s="78"/>
      <c r="X32" s="78"/>
      <c r="Y32" s="78"/>
      <c r="Z32" s="78"/>
    </row>
    <row r="33">
      <c r="A33" s="68"/>
      <c r="B33" s="69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70"/>
      <c r="N33" s="70"/>
      <c r="O33" s="70"/>
      <c r="P33" s="70"/>
      <c r="Q33" s="70"/>
      <c r="R33" s="70"/>
      <c r="S33" s="70"/>
      <c r="T33" s="70"/>
      <c r="U33" s="81"/>
      <c r="V33" s="81"/>
      <c r="W33" s="81"/>
      <c r="X33" s="81"/>
      <c r="Y33" s="81"/>
      <c r="Z33" s="81"/>
    </row>
    <row r="34">
      <c r="A34" s="68"/>
      <c r="B34" s="69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70"/>
      <c r="N34" s="70"/>
      <c r="O34" s="70"/>
      <c r="P34" s="70"/>
      <c r="Q34" s="70"/>
      <c r="R34" s="70"/>
      <c r="S34" s="70"/>
      <c r="T34" s="70"/>
      <c r="U34" s="78"/>
      <c r="V34" s="78"/>
      <c r="W34" s="78"/>
      <c r="X34" s="78"/>
      <c r="Y34" s="78"/>
      <c r="Z34" s="78"/>
    </row>
    <row r="35">
      <c r="A35" s="68"/>
      <c r="B35" s="69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70"/>
      <c r="N35" s="70"/>
      <c r="O35" s="70"/>
      <c r="P35" s="70"/>
      <c r="Q35" s="70"/>
      <c r="R35" s="70"/>
      <c r="S35" s="70"/>
      <c r="T35" s="70"/>
      <c r="U35" s="81"/>
      <c r="V35" s="81"/>
      <c r="W35" s="81"/>
      <c r="X35" s="81"/>
      <c r="Y35" s="81"/>
      <c r="Z35" s="81"/>
    </row>
    <row r="36">
      <c r="A36" s="68"/>
      <c r="B36" s="69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70"/>
      <c r="N36" s="70"/>
      <c r="O36" s="70"/>
      <c r="P36" s="70"/>
      <c r="Q36" s="70"/>
      <c r="R36" s="70"/>
      <c r="S36" s="70"/>
      <c r="T36" s="70"/>
      <c r="U36" s="78"/>
      <c r="V36" s="78"/>
      <c r="W36" s="78"/>
      <c r="X36" s="78"/>
      <c r="Y36" s="78"/>
      <c r="Z36" s="78"/>
    </row>
    <row r="37">
      <c r="A37" s="68"/>
      <c r="B37" s="69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70"/>
      <c r="N37" s="70"/>
      <c r="O37" s="70"/>
      <c r="P37" s="70"/>
      <c r="Q37" s="70"/>
      <c r="R37" s="70"/>
      <c r="S37" s="70"/>
      <c r="T37" s="70"/>
      <c r="U37" s="81"/>
      <c r="V37" s="81"/>
      <c r="W37" s="81"/>
      <c r="X37" s="81"/>
      <c r="Y37" s="81"/>
      <c r="Z37" s="81"/>
    </row>
    <row r="38">
      <c r="A38" s="68"/>
      <c r="B38" s="69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70"/>
      <c r="N38" s="70"/>
      <c r="O38" s="70"/>
      <c r="P38" s="70"/>
      <c r="Q38" s="70"/>
      <c r="R38" s="70"/>
      <c r="S38" s="70"/>
      <c r="T38" s="70"/>
      <c r="U38" s="78"/>
      <c r="V38" s="78"/>
      <c r="W38" s="78"/>
      <c r="X38" s="78"/>
      <c r="Y38" s="78"/>
      <c r="Z38" s="78"/>
    </row>
    <row r="39">
      <c r="A39" s="68"/>
      <c r="B39" s="69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70"/>
      <c r="N39" s="70"/>
      <c r="O39" s="70"/>
      <c r="P39" s="70"/>
      <c r="Q39" s="70"/>
      <c r="R39" s="70"/>
      <c r="S39" s="70"/>
      <c r="T39" s="70"/>
      <c r="U39" s="81"/>
      <c r="V39" s="81"/>
      <c r="W39" s="81"/>
      <c r="X39" s="81"/>
      <c r="Y39" s="81"/>
      <c r="Z39" s="81"/>
    </row>
    <row r="40">
      <c r="A40" s="68"/>
      <c r="B40" s="69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70"/>
      <c r="N40" s="70"/>
      <c r="O40" s="70"/>
      <c r="P40" s="70"/>
      <c r="Q40" s="70"/>
      <c r="R40" s="70"/>
      <c r="S40" s="70"/>
      <c r="T40" s="70"/>
      <c r="U40" s="78"/>
      <c r="V40" s="78"/>
      <c r="W40" s="78"/>
      <c r="X40" s="78"/>
      <c r="Y40" s="78"/>
      <c r="Z40" s="78"/>
    </row>
    <row r="41">
      <c r="A41" s="68"/>
      <c r="B41" s="69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70"/>
      <c r="N41" s="70"/>
      <c r="O41" s="70"/>
      <c r="P41" s="70"/>
      <c r="Q41" s="70"/>
      <c r="R41" s="70"/>
      <c r="S41" s="70"/>
      <c r="T41" s="70"/>
      <c r="U41" s="81"/>
      <c r="V41" s="81"/>
      <c r="W41" s="81"/>
      <c r="X41" s="81"/>
      <c r="Y41" s="81"/>
      <c r="Z41" s="81"/>
    </row>
    <row r="42">
      <c r="A42" s="68"/>
      <c r="B42" s="69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70"/>
      <c r="N42" s="70"/>
      <c r="O42" s="70"/>
      <c r="P42" s="70"/>
      <c r="Q42" s="70"/>
      <c r="R42" s="70"/>
      <c r="S42" s="70"/>
      <c r="T42" s="70"/>
      <c r="U42" s="78"/>
      <c r="V42" s="78"/>
      <c r="W42" s="78"/>
      <c r="X42" s="78"/>
      <c r="Y42" s="78"/>
      <c r="Z42" s="78"/>
    </row>
    <row r="43">
      <c r="A43" s="68"/>
      <c r="B43" s="69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70"/>
      <c r="N43" s="70"/>
      <c r="O43" s="70"/>
      <c r="P43" s="70"/>
      <c r="Q43" s="70"/>
      <c r="R43" s="70"/>
      <c r="S43" s="70"/>
      <c r="T43" s="70"/>
      <c r="U43" s="81"/>
      <c r="V43" s="81"/>
      <c r="W43" s="81"/>
      <c r="X43" s="81"/>
      <c r="Y43" s="81"/>
      <c r="Z43" s="81"/>
    </row>
    <row r="44">
      <c r="A44" s="68"/>
      <c r="B44" s="69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70"/>
      <c r="N44" s="70"/>
      <c r="O44" s="70"/>
      <c r="P44" s="70"/>
      <c r="Q44" s="70"/>
      <c r="R44" s="70"/>
      <c r="S44" s="70"/>
      <c r="T44" s="70"/>
      <c r="U44" s="78"/>
      <c r="V44" s="78"/>
      <c r="W44" s="78"/>
      <c r="X44" s="78"/>
      <c r="Y44" s="78"/>
      <c r="Z44" s="78"/>
    </row>
    <row r="45">
      <c r="A45" s="68"/>
      <c r="B45" s="69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70"/>
      <c r="N45" s="70"/>
      <c r="O45" s="70"/>
      <c r="P45" s="70"/>
      <c r="Q45" s="70"/>
      <c r="R45" s="70"/>
      <c r="S45" s="70"/>
      <c r="T45" s="70"/>
      <c r="U45" s="81"/>
      <c r="V45" s="81"/>
      <c r="W45" s="81"/>
      <c r="X45" s="81"/>
      <c r="Y45" s="81"/>
      <c r="Z45" s="81"/>
    </row>
    <row r="46">
      <c r="A46" s="68"/>
      <c r="B46" s="69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70"/>
      <c r="N46" s="70"/>
      <c r="O46" s="70"/>
      <c r="P46" s="70"/>
      <c r="Q46" s="70"/>
      <c r="R46" s="70"/>
      <c r="S46" s="70"/>
      <c r="T46" s="70"/>
      <c r="U46" s="78"/>
      <c r="V46" s="78"/>
      <c r="W46" s="78"/>
      <c r="X46" s="78"/>
      <c r="Y46" s="78"/>
      <c r="Z46" s="78"/>
    </row>
    <row r="47">
      <c r="A47" s="68"/>
      <c r="B47" s="69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70"/>
      <c r="N47" s="70"/>
      <c r="O47" s="70"/>
      <c r="P47" s="70"/>
      <c r="Q47" s="70"/>
      <c r="R47" s="70"/>
      <c r="S47" s="70"/>
      <c r="T47" s="70"/>
      <c r="U47" s="81"/>
      <c r="V47" s="81"/>
      <c r="W47" s="81"/>
      <c r="X47" s="81"/>
      <c r="Y47" s="81"/>
      <c r="Z47" s="81"/>
    </row>
    <row r="48">
      <c r="A48" s="68"/>
      <c r="B48" s="69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70"/>
      <c r="N48" s="70"/>
      <c r="O48" s="70"/>
      <c r="P48" s="70"/>
      <c r="Q48" s="70"/>
      <c r="R48" s="70"/>
      <c r="S48" s="70"/>
      <c r="T48" s="70"/>
      <c r="U48" s="78"/>
      <c r="V48" s="78"/>
      <c r="W48" s="78"/>
      <c r="X48" s="78"/>
      <c r="Y48" s="78"/>
      <c r="Z48" s="78"/>
    </row>
    <row r="49">
      <c r="A49" s="68"/>
      <c r="B49" s="69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70"/>
      <c r="N49" s="70"/>
      <c r="O49" s="70"/>
      <c r="P49" s="70"/>
      <c r="Q49" s="70"/>
      <c r="R49" s="70"/>
      <c r="S49" s="70"/>
      <c r="T49" s="70"/>
      <c r="U49" s="81"/>
      <c r="V49" s="81"/>
      <c r="W49" s="81"/>
      <c r="X49" s="81"/>
      <c r="Y49" s="81"/>
      <c r="Z49" s="81"/>
    </row>
    <row r="50">
      <c r="A50" s="68"/>
      <c r="B50" s="69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70"/>
      <c r="N50" s="70"/>
      <c r="O50" s="70"/>
      <c r="P50" s="70"/>
      <c r="Q50" s="70"/>
      <c r="R50" s="70"/>
      <c r="S50" s="70"/>
      <c r="T50" s="70"/>
      <c r="U50" s="78"/>
      <c r="V50" s="78"/>
      <c r="W50" s="78"/>
      <c r="X50" s="78"/>
      <c r="Y50" s="78"/>
      <c r="Z50" s="78"/>
    </row>
    <row r="51">
      <c r="A51" s="68"/>
      <c r="B51" s="69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70"/>
      <c r="N51" s="70"/>
      <c r="O51" s="70"/>
      <c r="P51" s="70"/>
      <c r="Q51" s="70"/>
      <c r="R51" s="70"/>
      <c r="S51" s="70"/>
      <c r="T51" s="70"/>
      <c r="U51" s="81"/>
      <c r="V51" s="81"/>
      <c r="W51" s="81"/>
      <c r="X51" s="81"/>
      <c r="Y51" s="81"/>
      <c r="Z51" s="81"/>
    </row>
    <row r="52">
      <c r="A52" s="68"/>
      <c r="B52" s="69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70"/>
      <c r="N52" s="70"/>
      <c r="O52" s="70"/>
      <c r="P52" s="70"/>
      <c r="Q52" s="70"/>
      <c r="R52" s="70"/>
      <c r="S52" s="70"/>
      <c r="T52" s="70"/>
      <c r="U52" s="78"/>
      <c r="V52" s="78"/>
      <c r="W52" s="78"/>
      <c r="X52" s="78"/>
      <c r="Y52" s="78"/>
      <c r="Z52" s="78"/>
    </row>
    <row r="53">
      <c r="A53" s="68"/>
      <c r="B53" s="69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70"/>
      <c r="N53" s="70"/>
      <c r="O53" s="70"/>
      <c r="P53" s="70"/>
      <c r="Q53" s="70"/>
      <c r="R53" s="70"/>
      <c r="S53" s="70"/>
      <c r="T53" s="70"/>
      <c r="U53" s="81"/>
      <c r="V53" s="81"/>
      <c r="W53" s="81"/>
      <c r="X53" s="81"/>
      <c r="Y53" s="81"/>
      <c r="Z53" s="81"/>
    </row>
    <row r="54">
      <c r="A54" s="68"/>
      <c r="B54" s="69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70"/>
      <c r="N54" s="70"/>
      <c r="O54" s="70"/>
      <c r="P54" s="70"/>
      <c r="Q54" s="70"/>
      <c r="R54" s="70"/>
      <c r="S54" s="70"/>
      <c r="T54" s="70"/>
      <c r="U54" s="78"/>
      <c r="V54" s="78"/>
      <c r="W54" s="78"/>
      <c r="X54" s="78"/>
      <c r="Y54" s="78"/>
      <c r="Z54" s="78"/>
    </row>
    <row r="55">
      <c r="A55" s="68"/>
      <c r="B55" s="69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70"/>
      <c r="N55" s="70"/>
      <c r="O55" s="70"/>
      <c r="P55" s="70"/>
      <c r="Q55" s="70"/>
      <c r="R55" s="70"/>
      <c r="S55" s="70"/>
      <c r="T55" s="70"/>
      <c r="U55" s="81"/>
      <c r="V55" s="81"/>
      <c r="W55" s="81"/>
      <c r="X55" s="81"/>
      <c r="Y55" s="81"/>
      <c r="Z55" s="81"/>
    </row>
    <row r="56">
      <c r="A56" s="68"/>
      <c r="B56" s="69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70"/>
      <c r="N56" s="70"/>
      <c r="O56" s="70"/>
      <c r="P56" s="70"/>
      <c r="Q56" s="70"/>
      <c r="R56" s="70"/>
      <c r="S56" s="70"/>
      <c r="T56" s="70"/>
      <c r="U56" s="78"/>
      <c r="V56" s="78"/>
      <c r="W56" s="78"/>
      <c r="X56" s="78"/>
      <c r="Y56" s="78"/>
      <c r="Z56" s="78"/>
    </row>
    <row r="57">
      <c r="A57" s="68"/>
      <c r="B57" s="69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70"/>
      <c r="N57" s="70"/>
      <c r="O57" s="70"/>
      <c r="P57" s="70"/>
      <c r="Q57" s="70"/>
      <c r="R57" s="70"/>
      <c r="S57" s="70"/>
      <c r="T57" s="70"/>
      <c r="U57" s="81"/>
      <c r="V57" s="81"/>
      <c r="W57" s="81"/>
      <c r="X57" s="81"/>
      <c r="Y57" s="81"/>
      <c r="Z57" s="81"/>
    </row>
    <row r="58">
      <c r="A58" s="68"/>
      <c r="B58" s="69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70"/>
      <c r="N58" s="70"/>
      <c r="O58" s="70"/>
      <c r="P58" s="70"/>
      <c r="Q58" s="70"/>
      <c r="R58" s="70"/>
      <c r="S58" s="70"/>
      <c r="T58" s="70"/>
      <c r="U58" s="78"/>
      <c r="V58" s="78"/>
      <c r="W58" s="78"/>
      <c r="X58" s="78"/>
      <c r="Y58" s="78"/>
      <c r="Z58" s="78"/>
    </row>
    <row r="59">
      <c r="A59" s="68"/>
      <c r="B59" s="69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70"/>
      <c r="N59" s="70"/>
      <c r="O59" s="70"/>
      <c r="P59" s="70"/>
      <c r="Q59" s="70"/>
      <c r="R59" s="70"/>
      <c r="S59" s="70"/>
      <c r="T59" s="70"/>
      <c r="U59" s="81"/>
      <c r="V59" s="81"/>
      <c r="W59" s="81"/>
      <c r="X59" s="81"/>
      <c r="Y59" s="81"/>
      <c r="Z59" s="81"/>
    </row>
    <row r="60">
      <c r="A60" s="68"/>
      <c r="B60" s="69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70"/>
      <c r="N60" s="70"/>
      <c r="O60" s="70"/>
      <c r="P60" s="70"/>
      <c r="Q60" s="70"/>
      <c r="R60" s="70"/>
      <c r="S60" s="70"/>
      <c r="T60" s="70"/>
      <c r="U60" s="78"/>
      <c r="V60" s="78"/>
      <c r="W60" s="78"/>
      <c r="X60" s="78"/>
      <c r="Y60" s="78"/>
      <c r="Z60" s="78"/>
    </row>
    <row r="61">
      <c r="A61" s="68"/>
      <c r="B61" s="69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70"/>
      <c r="N61" s="70"/>
      <c r="O61" s="70"/>
      <c r="P61" s="70"/>
      <c r="Q61" s="70"/>
      <c r="R61" s="70"/>
      <c r="S61" s="70"/>
      <c r="T61" s="70"/>
      <c r="U61" s="81"/>
      <c r="V61" s="81"/>
      <c r="W61" s="81"/>
      <c r="X61" s="81"/>
      <c r="Y61" s="81"/>
      <c r="Z61" s="81"/>
    </row>
    <row r="62">
      <c r="A62" s="68"/>
      <c r="B62" s="69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70"/>
      <c r="N62" s="70"/>
      <c r="O62" s="70"/>
      <c r="P62" s="70"/>
      <c r="Q62" s="70"/>
      <c r="R62" s="70"/>
      <c r="S62" s="70"/>
      <c r="T62" s="70"/>
      <c r="U62" s="78"/>
      <c r="V62" s="78"/>
      <c r="W62" s="78"/>
      <c r="X62" s="78"/>
      <c r="Y62" s="78"/>
      <c r="Z62" s="78"/>
    </row>
    <row r="63">
      <c r="A63" s="68"/>
      <c r="B63" s="69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70"/>
      <c r="N63" s="70"/>
      <c r="O63" s="70"/>
      <c r="P63" s="70"/>
      <c r="Q63" s="70"/>
      <c r="R63" s="70"/>
      <c r="S63" s="70"/>
      <c r="T63" s="70"/>
      <c r="U63" s="81"/>
      <c r="V63" s="81"/>
      <c r="W63" s="81"/>
      <c r="X63" s="81"/>
      <c r="Y63" s="81"/>
      <c r="Z63" s="81"/>
    </row>
    <row r="64">
      <c r="A64" s="68"/>
      <c r="B64" s="69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70"/>
      <c r="N64" s="70"/>
      <c r="O64" s="70"/>
      <c r="P64" s="70"/>
      <c r="Q64" s="70"/>
      <c r="R64" s="70"/>
      <c r="S64" s="70"/>
      <c r="T64" s="70"/>
    </row>
    <row r="65">
      <c r="A65" s="68"/>
      <c r="B65" s="69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70"/>
      <c r="N65" s="70"/>
      <c r="O65" s="70"/>
      <c r="P65" s="70"/>
      <c r="Q65" s="70"/>
      <c r="R65" s="70"/>
      <c r="S65" s="70"/>
      <c r="T65" s="70"/>
    </row>
    <row r="66">
      <c r="A66" s="68"/>
      <c r="B66" s="69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70"/>
      <c r="N66" s="70"/>
      <c r="O66" s="70"/>
      <c r="P66" s="70"/>
      <c r="Q66" s="70"/>
      <c r="R66" s="70"/>
      <c r="S66" s="70"/>
      <c r="T66" s="70"/>
    </row>
    <row r="67">
      <c r="A67" s="68"/>
      <c r="B67" s="69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70"/>
      <c r="N67" s="70"/>
      <c r="O67" s="70"/>
      <c r="P67" s="70"/>
      <c r="Q67" s="70"/>
      <c r="R67" s="70"/>
      <c r="S67" s="70"/>
      <c r="T67" s="70"/>
    </row>
    <row r="68">
      <c r="A68" s="68"/>
      <c r="B68" s="69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70"/>
      <c r="N68" s="70"/>
      <c r="O68" s="70"/>
      <c r="P68" s="70"/>
      <c r="Q68" s="70"/>
      <c r="R68" s="70"/>
      <c r="S68" s="70"/>
      <c r="T68" s="70"/>
    </row>
    <row r="69">
      <c r="A69" s="68"/>
      <c r="B69" s="69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70"/>
      <c r="N69" s="70"/>
      <c r="O69" s="70"/>
      <c r="P69" s="70"/>
      <c r="Q69" s="70"/>
      <c r="R69" s="70"/>
      <c r="S69" s="70"/>
      <c r="T69" s="70"/>
    </row>
    <row r="70">
      <c r="A70" s="68"/>
      <c r="B70" s="69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70"/>
      <c r="N70" s="70"/>
      <c r="O70" s="70"/>
      <c r="P70" s="70"/>
      <c r="Q70" s="70"/>
      <c r="R70" s="70"/>
      <c r="S70" s="70"/>
      <c r="T70" s="70"/>
    </row>
    <row r="71">
      <c r="A71" s="68"/>
      <c r="B71" s="69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70"/>
      <c r="N71" s="70"/>
      <c r="O71" s="70"/>
      <c r="P71" s="70"/>
      <c r="Q71" s="70"/>
      <c r="R71" s="70"/>
      <c r="S71" s="70"/>
      <c r="T71" s="70"/>
    </row>
    <row r="72">
      <c r="A72" s="68"/>
      <c r="B72" s="69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70"/>
      <c r="N72" s="70"/>
      <c r="O72" s="70"/>
      <c r="P72" s="70"/>
      <c r="Q72" s="70"/>
      <c r="R72" s="70"/>
      <c r="S72" s="70"/>
      <c r="T72" s="70"/>
    </row>
    <row r="73">
      <c r="A73" s="68"/>
      <c r="B73" s="69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70"/>
      <c r="N73" s="70"/>
      <c r="O73" s="70"/>
      <c r="P73" s="70"/>
      <c r="Q73" s="70"/>
      <c r="R73" s="70"/>
      <c r="S73" s="70"/>
      <c r="T73" s="70"/>
    </row>
    <row r="74">
      <c r="A74" s="68"/>
      <c r="B74" s="69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70"/>
      <c r="N74" s="70"/>
      <c r="O74" s="70"/>
      <c r="P74" s="70"/>
      <c r="Q74" s="70"/>
      <c r="R74" s="70"/>
      <c r="S74" s="70"/>
      <c r="T74" s="70"/>
    </row>
    <row r="75">
      <c r="A75" s="68"/>
      <c r="B75" s="69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70"/>
      <c r="N75" s="70"/>
      <c r="O75" s="70"/>
      <c r="P75" s="70"/>
      <c r="Q75" s="70"/>
      <c r="R75" s="70"/>
      <c r="S75" s="70"/>
      <c r="T75" s="70"/>
    </row>
    <row r="76">
      <c r="A76" s="68"/>
      <c r="B76" s="69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70"/>
      <c r="N76" s="70"/>
      <c r="O76" s="70"/>
      <c r="P76" s="70"/>
      <c r="Q76" s="70"/>
      <c r="R76" s="70"/>
      <c r="S76" s="70"/>
      <c r="T76" s="70"/>
    </row>
    <row r="77">
      <c r="A77" s="68"/>
      <c r="B77" s="69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70"/>
      <c r="N77" s="70"/>
      <c r="O77" s="70"/>
      <c r="P77" s="70"/>
      <c r="Q77" s="70"/>
      <c r="R77" s="70"/>
      <c r="S77" s="70"/>
      <c r="T77" s="70"/>
    </row>
    <row r="78">
      <c r="A78" s="68"/>
      <c r="B78" s="69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70"/>
      <c r="N78" s="70"/>
      <c r="O78" s="70"/>
      <c r="P78" s="70"/>
      <c r="Q78" s="70"/>
      <c r="R78" s="70"/>
      <c r="S78" s="70"/>
      <c r="T78" s="70"/>
    </row>
    <row r="79">
      <c r="A79" s="68"/>
      <c r="B79" s="69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70"/>
      <c r="N79" s="70"/>
      <c r="O79" s="70"/>
      <c r="P79" s="70"/>
      <c r="Q79" s="70"/>
      <c r="R79" s="70"/>
      <c r="S79" s="70"/>
      <c r="T79" s="70"/>
    </row>
    <row r="80">
      <c r="A80" s="68"/>
      <c r="B80" s="69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70"/>
      <c r="N80" s="70"/>
      <c r="O80" s="70"/>
      <c r="P80" s="70"/>
      <c r="Q80" s="70"/>
      <c r="R80" s="70"/>
      <c r="S80" s="70"/>
      <c r="T80" s="70"/>
    </row>
    <row r="81">
      <c r="A81" s="68"/>
      <c r="B81" s="69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70"/>
      <c r="N81" s="70"/>
      <c r="O81" s="70"/>
      <c r="P81" s="70"/>
      <c r="Q81" s="70"/>
      <c r="R81" s="70"/>
      <c r="S81" s="70"/>
      <c r="T81" s="70"/>
    </row>
    <row r="82">
      <c r="A82" s="68"/>
      <c r="B82" s="69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70"/>
      <c r="N82" s="70"/>
      <c r="O82" s="70"/>
      <c r="P82" s="70"/>
      <c r="Q82" s="70"/>
      <c r="R82" s="70"/>
      <c r="S82" s="70"/>
      <c r="T82" s="70"/>
    </row>
    <row r="83">
      <c r="A83" s="68"/>
      <c r="B83" s="69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70"/>
      <c r="N83" s="70"/>
      <c r="O83" s="70"/>
      <c r="P83" s="70"/>
      <c r="Q83" s="70"/>
      <c r="R83" s="70"/>
      <c r="S83" s="70"/>
      <c r="T83" s="70"/>
    </row>
    <row r="84">
      <c r="A84" s="68"/>
      <c r="B84" s="69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70"/>
      <c r="N84" s="70"/>
      <c r="O84" s="70"/>
      <c r="P84" s="70"/>
      <c r="Q84" s="70"/>
      <c r="R84" s="70"/>
      <c r="S84" s="70"/>
      <c r="T84" s="70"/>
    </row>
    <row r="85">
      <c r="A85" s="68"/>
      <c r="B85" s="69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70"/>
      <c r="N85" s="70"/>
      <c r="O85" s="70"/>
      <c r="P85" s="70"/>
      <c r="Q85" s="70"/>
      <c r="R85" s="70"/>
      <c r="S85" s="70"/>
      <c r="T85" s="70"/>
    </row>
    <row r="86">
      <c r="A86" s="68"/>
      <c r="B86" s="69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70"/>
      <c r="N86" s="70"/>
      <c r="O86" s="70"/>
      <c r="P86" s="70"/>
      <c r="Q86" s="70"/>
      <c r="R86" s="70"/>
      <c r="S86" s="70"/>
      <c r="T86" s="70"/>
    </row>
    <row r="87">
      <c r="A87" s="68"/>
      <c r="B87" s="69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70"/>
      <c r="N87" s="70"/>
      <c r="O87" s="70"/>
      <c r="P87" s="70"/>
      <c r="Q87" s="70"/>
      <c r="R87" s="70"/>
      <c r="S87" s="70"/>
      <c r="T87" s="70"/>
    </row>
    <row r="88">
      <c r="A88" s="68"/>
      <c r="B88" s="69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70"/>
      <c r="N88" s="70"/>
      <c r="O88" s="70"/>
      <c r="P88" s="70"/>
      <c r="Q88" s="70"/>
      <c r="R88" s="70"/>
      <c r="S88" s="70"/>
      <c r="T88" s="70"/>
    </row>
    <row r="89">
      <c r="A89" s="68"/>
      <c r="B89" s="69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70"/>
      <c r="N89" s="70"/>
      <c r="O89" s="70"/>
      <c r="P89" s="70"/>
      <c r="Q89" s="70"/>
      <c r="R89" s="70"/>
      <c r="S89" s="70"/>
      <c r="T89" s="70"/>
    </row>
    <row r="90">
      <c r="A90" s="68"/>
      <c r="B90" s="69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70"/>
      <c r="N90" s="70"/>
      <c r="O90" s="70"/>
      <c r="P90" s="70"/>
      <c r="Q90" s="70"/>
      <c r="R90" s="70"/>
      <c r="S90" s="70"/>
      <c r="T90" s="70"/>
    </row>
    <row r="91">
      <c r="A91" s="68"/>
      <c r="B91" s="69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70"/>
      <c r="N91" s="70"/>
      <c r="O91" s="70"/>
      <c r="P91" s="70"/>
      <c r="Q91" s="70"/>
      <c r="R91" s="70"/>
      <c r="S91" s="70"/>
      <c r="T91" s="70"/>
    </row>
    <row r="92">
      <c r="A92" s="68"/>
      <c r="B92" s="69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70"/>
      <c r="N92" s="70"/>
      <c r="O92" s="70"/>
      <c r="P92" s="70"/>
      <c r="Q92" s="70"/>
      <c r="R92" s="70"/>
      <c r="S92" s="70"/>
      <c r="T92" s="70"/>
    </row>
    <row r="93">
      <c r="A93" s="68"/>
      <c r="B93" s="69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70"/>
      <c r="N93" s="70"/>
      <c r="O93" s="70"/>
      <c r="P93" s="70"/>
      <c r="Q93" s="70"/>
      <c r="R93" s="70"/>
      <c r="S93" s="70"/>
      <c r="T93" s="70"/>
    </row>
    <row r="94">
      <c r="A94" s="68"/>
      <c r="B94" s="69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70"/>
      <c r="N94" s="70"/>
      <c r="O94" s="70"/>
      <c r="P94" s="70"/>
      <c r="Q94" s="70"/>
      <c r="R94" s="70"/>
      <c r="S94" s="70"/>
      <c r="T94" s="70"/>
    </row>
    <row r="95">
      <c r="A95" s="68"/>
      <c r="B95" s="69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70"/>
      <c r="N95" s="70"/>
      <c r="O95" s="70"/>
      <c r="P95" s="70"/>
      <c r="Q95" s="70"/>
      <c r="R95" s="70"/>
      <c r="S95" s="70"/>
      <c r="T95" s="70"/>
    </row>
    <row r="96">
      <c r="A96" s="68"/>
      <c r="B96" s="69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70"/>
      <c r="N96" s="70"/>
      <c r="O96" s="70"/>
      <c r="P96" s="70"/>
      <c r="Q96" s="70"/>
      <c r="R96" s="70"/>
      <c r="S96" s="70"/>
      <c r="T96" s="70"/>
    </row>
    <row r="97">
      <c r="A97" s="68"/>
      <c r="B97" s="69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70"/>
      <c r="N97" s="70"/>
      <c r="O97" s="70"/>
      <c r="P97" s="70"/>
      <c r="Q97" s="70"/>
      <c r="R97" s="70"/>
      <c r="S97" s="70"/>
      <c r="T97" s="70"/>
    </row>
    <row r="98">
      <c r="A98" s="68"/>
      <c r="B98" s="69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70"/>
      <c r="N98" s="70"/>
      <c r="O98" s="70"/>
      <c r="P98" s="70"/>
      <c r="Q98" s="70"/>
      <c r="R98" s="70"/>
      <c r="S98" s="70"/>
      <c r="T98" s="70"/>
    </row>
    <row r="99">
      <c r="A99" s="68"/>
      <c r="B99" s="69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70"/>
      <c r="N99" s="70"/>
      <c r="O99" s="70"/>
      <c r="P99" s="70"/>
      <c r="Q99" s="70"/>
      <c r="R99" s="70"/>
      <c r="S99" s="70"/>
      <c r="T99" s="70"/>
    </row>
    <row r="100">
      <c r="A100" s="68"/>
      <c r="B100" s="69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70"/>
      <c r="N100" s="70"/>
      <c r="O100" s="70"/>
      <c r="P100" s="70"/>
      <c r="Q100" s="70"/>
      <c r="R100" s="70"/>
      <c r="S100" s="70"/>
      <c r="T100" s="70"/>
    </row>
    <row r="101">
      <c r="A101" s="68"/>
      <c r="B101" s="69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70"/>
      <c r="N101" s="70"/>
      <c r="O101" s="70"/>
      <c r="P101" s="70"/>
      <c r="Q101" s="70"/>
      <c r="R101" s="70"/>
      <c r="S101" s="70"/>
      <c r="T101" s="70"/>
    </row>
    <row r="102">
      <c r="A102" s="68"/>
      <c r="B102" s="69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70"/>
      <c r="N102" s="70"/>
      <c r="O102" s="70"/>
      <c r="P102" s="70"/>
      <c r="Q102" s="70"/>
      <c r="R102" s="70"/>
      <c r="S102" s="70"/>
      <c r="T102" s="70"/>
    </row>
    <row r="103">
      <c r="A103" s="68"/>
      <c r="B103" s="69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70"/>
      <c r="N103" s="70"/>
      <c r="O103" s="70"/>
      <c r="P103" s="70"/>
      <c r="Q103" s="70"/>
      <c r="R103" s="70"/>
      <c r="S103" s="70"/>
      <c r="T103" s="70"/>
    </row>
    <row r="104">
      <c r="A104" s="68"/>
      <c r="B104" s="69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70"/>
      <c r="N104" s="70"/>
      <c r="O104" s="70"/>
      <c r="P104" s="70"/>
      <c r="Q104" s="70"/>
      <c r="R104" s="70"/>
      <c r="S104" s="70"/>
      <c r="T104" s="70"/>
    </row>
    <row r="105">
      <c r="A105" s="68"/>
      <c r="B105" s="69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70"/>
      <c r="N105" s="70"/>
      <c r="O105" s="70"/>
      <c r="P105" s="70"/>
      <c r="Q105" s="70"/>
      <c r="R105" s="70"/>
      <c r="S105" s="70"/>
      <c r="T105" s="70"/>
    </row>
    <row r="106">
      <c r="A106" s="68"/>
      <c r="B106" s="69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70"/>
      <c r="N106" s="70"/>
      <c r="O106" s="70"/>
      <c r="P106" s="70"/>
      <c r="Q106" s="70"/>
      <c r="R106" s="70"/>
      <c r="S106" s="70"/>
      <c r="T106" s="70"/>
    </row>
    <row r="107">
      <c r="A107" s="68"/>
      <c r="B107" s="69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70"/>
      <c r="N107" s="70"/>
      <c r="O107" s="70"/>
      <c r="P107" s="70"/>
      <c r="Q107" s="70"/>
      <c r="R107" s="70"/>
      <c r="S107" s="70"/>
      <c r="T107" s="70"/>
    </row>
    <row r="108">
      <c r="A108" s="68"/>
      <c r="B108" s="69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70"/>
      <c r="N108" s="70"/>
      <c r="O108" s="70"/>
      <c r="P108" s="70"/>
      <c r="Q108" s="70"/>
      <c r="R108" s="70"/>
      <c r="S108" s="70"/>
      <c r="T108" s="70"/>
    </row>
    <row r="109">
      <c r="A109" s="68"/>
      <c r="B109" s="69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70"/>
      <c r="N109" s="70"/>
      <c r="O109" s="70"/>
      <c r="P109" s="70"/>
      <c r="Q109" s="70"/>
      <c r="R109" s="70"/>
      <c r="S109" s="70"/>
      <c r="T109" s="70"/>
    </row>
    <row r="110">
      <c r="A110" s="68"/>
      <c r="B110" s="69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70"/>
      <c r="N110" s="70"/>
      <c r="O110" s="70"/>
      <c r="P110" s="70"/>
      <c r="Q110" s="70"/>
      <c r="R110" s="70"/>
      <c r="S110" s="70"/>
      <c r="T110" s="70"/>
    </row>
    <row r="111">
      <c r="A111" s="68"/>
      <c r="B111" s="69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70"/>
      <c r="N111" s="70"/>
      <c r="O111" s="70"/>
      <c r="P111" s="70"/>
      <c r="Q111" s="70"/>
      <c r="R111" s="70"/>
      <c r="S111" s="70"/>
      <c r="T111" s="70"/>
    </row>
    <row r="112">
      <c r="A112" s="68"/>
      <c r="B112" s="69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70"/>
      <c r="N112" s="70"/>
      <c r="O112" s="70"/>
      <c r="P112" s="70"/>
      <c r="Q112" s="70"/>
      <c r="R112" s="70"/>
      <c r="S112" s="70"/>
      <c r="T112" s="70"/>
    </row>
    <row r="113">
      <c r="A113" s="68"/>
      <c r="B113" s="69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70"/>
      <c r="N113" s="70"/>
      <c r="O113" s="70"/>
      <c r="P113" s="70"/>
      <c r="Q113" s="70"/>
      <c r="R113" s="70"/>
      <c r="S113" s="70"/>
      <c r="T113" s="70"/>
    </row>
    <row r="114">
      <c r="A114" s="68"/>
      <c r="B114" s="69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70"/>
      <c r="N114" s="70"/>
      <c r="O114" s="70"/>
      <c r="P114" s="70"/>
      <c r="Q114" s="70"/>
      <c r="R114" s="70"/>
      <c r="S114" s="70"/>
      <c r="T114" s="70"/>
    </row>
    <row r="115">
      <c r="A115" s="68"/>
      <c r="B115" s="69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70"/>
      <c r="N115" s="70"/>
      <c r="O115" s="70"/>
      <c r="P115" s="70"/>
      <c r="Q115" s="70"/>
      <c r="R115" s="70"/>
      <c r="S115" s="70"/>
      <c r="T115" s="70"/>
    </row>
    <row r="116">
      <c r="A116" s="68"/>
      <c r="B116" s="69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70"/>
      <c r="N116" s="70"/>
      <c r="O116" s="70"/>
      <c r="P116" s="70"/>
      <c r="Q116" s="70"/>
      <c r="R116" s="70"/>
      <c r="S116" s="70"/>
      <c r="T116" s="70"/>
    </row>
    <row r="117">
      <c r="A117" s="68"/>
      <c r="B117" s="69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70"/>
      <c r="N117" s="70"/>
      <c r="O117" s="70"/>
      <c r="P117" s="70"/>
      <c r="Q117" s="70"/>
      <c r="R117" s="70"/>
      <c r="S117" s="70"/>
      <c r="T117" s="70"/>
    </row>
    <row r="118">
      <c r="A118" s="68"/>
      <c r="B118" s="69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70"/>
      <c r="N118" s="70"/>
      <c r="O118" s="70"/>
      <c r="P118" s="70"/>
      <c r="Q118" s="70"/>
      <c r="R118" s="70"/>
      <c r="S118" s="70"/>
      <c r="T118" s="70"/>
    </row>
    <row r="119">
      <c r="A119" s="68"/>
      <c r="B119" s="69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70"/>
      <c r="N119" s="70"/>
      <c r="O119" s="70"/>
      <c r="P119" s="70"/>
      <c r="Q119" s="70"/>
      <c r="R119" s="70"/>
      <c r="S119" s="70"/>
      <c r="T119" s="70"/>
    </row>
    <row r="120">
      <c r="A120" s="68"/>
      <c r="B120" s="69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70"/>
      <c r="N120" s="70"/>
      <c r="O120" s="70"/>
      <c r="P120" s="70"/>
      <c r="Q120" s="70"/>
      <c r="R120" s="70"/>
      <c r="S120" s="70"/>
      <c r="T120" s="70"/>
    </row>
    <row r="121">
      <c r="A121" s="68"/>
      <c r="B121" s="69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70"/>
      <c r="N121" s="70"/>
      <c r="O121" s="70"/>
      <c r="P121" s="70"/>
      <c r="Q121" s="70"/>
      <c r="R121" s="70"/>
      <c r="S121" s="70"/>
      <c r="T121" s="70"/>
    </row>
    <row r="122">
      <c r="A122" s="68"/>
      <c r="B122" s="69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70"/>
      <c r="N122" s="70"/>
      <c r="O122" s="70"/>
      <c r="P122" s="70"/>
      <c r="Q122" s="70"/>
      <c r="R122" s="70"/>
      <c r="S122" s="70"/>
      <c r="T122" s="70"/>
    </row>
    <row r="123">
      <c r="A123" s="68"/>
      <c r="B123" s="69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70"/>
      <c r="N123" s="70"/>
      <c r="O123" s="70"/>
      <c r="P123" s="70"/>
      <c r="Q123" s="70"/>
      <c r="R123" s="70"/>
      <c r="S123" s="70"/>
      <c r="T123" s="70"/>
    </row>
    <row r="124">
      <c r="A124" s="68"/>
      <c r="B124" s="69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70"/>
      <c r="N124" s="70"/>
      <c r="O124" s="70"/>
      <c r="P124" s="70"/>
      <c r="Q124" s="70"/>
      <c r="R124" s="70"/>
      <c r="S124" s="70"/>
      <c r="T124" s="70"/>
    </row>
    <row r="125">
      <c r="A125" s="68"/>
      <c r="B125" s="69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70"/>
      <c r="N125" s="70"/>
      <c r="O125" s="70"/>
      <c r="P125" s="70"/>
      <c r="Q125" s="70"/>
      <c r="R125" s="70"/>
      <c r="S125" s="70"/>
      <c r="T125" s="70"/>
    </row>
    <row r="126">
      <c r="A126" s="68"/>
      <c r="B126" s="69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70"/>
      <c r="N126" s="70"/>
      <c r="O126" s="70"/>
      <c r="P126" s="70"/>
      <c r="Q126" s="70"/>
      <c r="R126" s="70"/>
      <c r="S126" s="70"/>
      <c r="T126" s="70"/>
    </row>
    <row r="127">
      <c r="A127" s="68"/>
      <c r="B127" s="69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70"/>
      <c r="N127" s="70"/>
      <c r="O127" s="70"/>
      <c r="P127" s="70"/>
      <c r="Q127" s="70"/>
      <c r="R127" s="70"/>
      <c r="S127" s="70"/>
      <c r="T127" s="70"/>
    </row>
    <row r="128">
      <c r="A128" s="68"/>
      <c r="B128" s="69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70"/>
      <c r="N128" s="70"/>
      <c r="O128" s="70"/>
      <c r="P128" s="70"/>
      <c r="Q128" s="70"/>
      <c r="R128" s="70"/>
      <c r="S128" s="70"/>
      <c r="T128" s="70"/>
    </row>
    <row r="129">
      <c r="A129" s="68"/>
      <c r="B129" s="69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70"/>
      <c r="N129" s="70"/>
      <c r="O129" s="70"/>
      <c r="P129" s="70"/>
      <c r="Q129" s="70"/>
      <c r="R129" s="70"/>
      <c r="S129" s="70"/>
      <c r="T129" s="70"/>
    </row>
    <row r="130">
      <c r="A130" s="68"/>
      <c r="B130" s="69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70"/>
      <c r="N130" s="70"/>
      <c r="O130" s="70"/>
      <c r="P130" s="70"/>
      <c r="Q130" s="70"/>
      <c r="R130" s="70"/>
      <c r="S130" s="70"/>
      <c r="T130" s="70"/>
    </row>
    <row r="131">
      <c r="A131" s="68"/>
      <c r="B131" s="69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70"/>
      <c r="N131" s="70"/>
      <c r="O131" s="70"/>
      <c r="P131" s="70"/>
      <c r="Q131" s="70"/>
      <c r="R131" s="70"/>
      <c r="S131" s="70"/>
      <c r="T131" s="70"/>
    </row>
    <row r="132">
      <c r="A132" s="68"/>
      <c r="B132" s="69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70"/>
      <c r="N132" s="70"/>
      <c r="O132" s="70"/>
      <c r="P132" s="70"/>
      <c r="Q132" s="70"/>
      <c r="R132" s="70"/>
      <c r="S132" s="70"/>
      <c r="T132" s="70"/>
    </row>
    <row r="133">
      <c r="A133" s="68"/>
      <c r="B133" s="69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70"/>
      <c r="N133" s="70"/>
      <c r="O133" s="70"/>
      <c r="P133" s="70"/>
      <c r="Q133" s="70"/>
      <c r="R133" s="70"/>
      <c r="S133" s="70"/>
      <c r="T133" s="70"/>
    </row>
    <row r="134">
      <c r="A134" s="68"/>
      <c r="B134" s="69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70"/>
      <c r="N134" s="70"/>
      <c r="O134" s="70"/>
      <c r="P134" s="70"/>
      <c r="Q134" s="70"/>
      <c r="R134" s="70"/>
      <c r="S134" s="70"/>
      <c r="T134" s="70"/>
    </row>
    <row r="135">
      <c r="A135" s="68"/>
      <c r="B135" s="69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70"/>
      <c r="N135" s="70"/>
      <c r="O135" s="70"/>
      <c r="P135" s="70"/>
      <c r="Q135" s="70"/>
      <c r="R135" s="70"/>
      <c r="S135" s="70"/>
      <c r="T135" s="70"/>
    </row>
    <row r="136">
      <c r="A136" s="68"/>
      <c r="B136" s="69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70"/>
      <c r="N136" s="70"/>
      <c r="O136" s="70"/>
      <c r="P136" s="70"/>
      <c r="Q136" s="70"/>
      <c r="R136" s="70"/>
      <c r="S136" s="70"/>
      <c r="T136" s="70"/>
    </row>
    <row r="137">
      <c r="A137" s="68"/>
      <c r="B137" s="69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70"/>
      <c r="N137" s="70"/>
      <c r="O137" s="70"/>
      <c r="P137" s="70"/>
      <c r="Q137" s="70"/>
      <c r="R137" s="70"/>
      <c r="S137" s="70"/>
      <c r="T137" s="70"/>
    </row>
    <row r="138">
      <c r="A138" s="68"/>
      <c r="B138" s="69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70"/>
      <c r="N138" s="70"/>
      <c r="O138" s="70"/>
      <c r="P138" s="70"/>
      <c r="Q138" s="70"/>
      <c r="R138" s="70"/>
      <c r="S138" s="70"/>
      <c r="T138" s="70"/>
    </row>
    <row r="139">
      <c r="A139" s="68"/>
      <c r="B139" s="69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70"/>
      <c r="N139" s="70"/>
      <c r="O139" s="70"/>
      <c r="P139" s="70"/>
      <c r="Q139" s="70"/>
      <c r="R139" s="70"/>
      <c r="S139" s="70"/>
      <c r="T139" s="70"/>
    </row>
    <row r="140">
      <c r="A140" s="68"/>
      <c r="B140" s="69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70"/>
      <c r="N140" s="70"/>
      <c r="O140" s="70"/>
      <c r="P140" s="70"/>
      <c r="Q140" s="70"/>
      <c r="R140" s="70"/>
      <c r="S140" s="70"/>
      <c r="T140" s="70"/>
    </row>
    <row r="141">
      <c r="A141" s="68"/>
      <c r="B141" s="69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70"/>
      <c r="N141" s="70"/>
      <c r="O141" s="70"/>
      <c r="P141" s="70"/>
      <c r="Q141" s="70"/>
      <c r="R141" s="70"/>
      <c r="S141" s="70"/>
      <c r="T141" s="70"/>
    </row>
    <row r="142">
      <c r="A142" s="68"/>
      <c r="B142" s="69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70"/>
      <c r="N142" s="70"/>
      <c r="O142" s="70"/>
      <c r="P142" s="70"/>
      <c r="Q142" s="70"/>
      <c r="R142" s="70"/>
      <c r="S142" s="70"/>
      <c r="T142" s="70"/>
    </row>
    <row r="143">
      <c r="A143" s="68"/>
      <c r="B143" s="69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70"/>
      <c r="N143" s="70"/>
      <c r="O143" s="70"/>
      <c r="P143" s="70"/>
      <c r="Q143" s="70"/>
      <c r="R143" s="70"/>
      <c r="S143" s="70"/>
      <c r="T143" s="70"/>
    </row>
    <row r="144">
      <c r="A144" s="68"/>
      <c r="B144" s="69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70"/>
      <c r="N144" s="70"/>
      <c r="O144" s="70"/>
      <c r="P144" s="70"/>
      <c r="Q144" s="70"/>
      <c r="R144" s="70"/>
      <c r="S144" s="70"/>
      <c r="T144" s="70"/>
    </row>
    <row r="145">
      <c r="A145" s="68"/>
      <c r="B145" s="69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70"/>
      <c r="N145" s="70"/>
      <c r="O145" s="70"/>
      <c r="P145" s="70"/>
      <c r="Q145" s="70"/>
      <c r="R145" s="70"/>
      <c r="S145" s="70"/>
      <c r="T145" s="70"/>
    </row>
    <row r="146">
      <c r="A146" s="68"/>
      <c r="B146" s="69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70"/>
      <c r="N146" s="70"/>
      <c r="O146" s="70"/>
      <c r="P146" s="70"/>
      <c r="Q146" s="70"/>
      <c r="R146" s="70"/>
      <c r="S146" s="70"/>
      <c r="T146" s="70"/>
    </row>
    <row r="147">
      <c r="A147" s="68"/>
      <c r="B147" s="69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70"/>
      <c r="N147" s="70"/>
      <c r="O147" s="70"/>
      <c r="P147" s="70"/>
      <c r="Q147" s="70"/>
      <c r="R147" s="70"/>
      <c r="S147" s="70"/>
      <c r="T147" s="70"/>
    </row>
    <row r="148">
      <c r="A148" s="68"/>
      <c r="B148" s="69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70"/>
      <c r="N148" s="70"/>
      <c r="O148" s="70"/>
      <c r="P148" s="70"/>
      <c r="Q148" s="70"/>
      <c r="R148" s="70"/>
      <c r="S148" s="70"/>
      <c r="T148" s="70"/>
    </row>
    <row r="149">
      <c r="A149" s="68"/>
      <c r="B149" s="69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70"/>
      <c r="N149" s="70"/>
      <c r="O149" s="70"/>
      <c r="P149" s="70"/>
      <c r="Q149" s="70"/>
      <c r="R149" s="70"/>
      <c r="S149" s="70"/>
      <c r="T149" s="70"/>
    </row>
    <row r="150">
      <c r="A150" s="68"/>
      <c r="B150" s="69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70"/>
      <c r="N150" s="70"/>
      <c r="O150" s="70"/>
      <c r="P150" s="70"/>
      <c r="Q150" s="70"/>
      <c r="R150" s="70"/>
      <c r="S150" s="70"/>
      <c r="T150" s="70"/>
    </row>
    <row r="151">
      <c r="A151" s="68"/>
      <c r="B151" s="69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70"/>
      <c r="N151" s="70"/>
      <c r="O151" s="70"/>
      <c r="P151" s="70"/>
      <c r="Q151" s="70"/>
      <c r="R151" s="70"/>
      <c r="S151" s="70"/>
      <c r="T151" s="70"/>
    </row>
    <row r="152">
      <c r="A152" s="68"/>
      <c r="B152" s="69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70"/>
      <c r="N152" s="70"/>
      <c r="O152" s="70"/>
      <c r="P152" s="70"/>
      <c r="Q152" s="70"/>
      <c r="R152" s="70"/>
      <c r="S152" s="70"/>
      <c r="T152" s="70"/>
    </row>
    <row r="153">
      <c r="A153" s="68"/>
      <c r="B153" s="69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70"/>
      <c r="N153" s="70"/>
      <c r="O153" s="70"/>
      <c r="P153" s="70"/>
      <c r="Q153" s="70"/>
      <c r="R153" s="70"/>
      <c r="S153" s="70"/>
      <c r="T153" s="70"/>
    </row>
    <row r="154">
      <c r="A154" s="68"/>
      <c r="B154" s="69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70"/>
      <c r="N154" s="70"/>
      <c r="O154" s="70"/>
      <c r="P154" s="70"/>
      <c r="Q154" s="70"/>
      <c r="R154" s="70"/>
      <c r="S154" s="70"/>
      <c r="T154" s="70"/>
    </row>
    <row r="155">
      <c r="A155" s="68"/>
      <c r="B155" s="69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70"/>
      <c r="N155" s="70"/>
      <c r="O155" s="70"/>
      <c r="P155" s="70"/>
      <c r="Q155" s="70"/>
      <c r="R155" s="70"/>
      <c r="S155" s="70"/>
      <c r="T155" s="70"/>
    </row>
    <row r="156">
      <c r="A156" s="68"/>
      <c r="B156" s="69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70"/>
      <c r="N156" s="70"/>
      <c r="O156" s="70"/>
      <c r="P156" s="70"/>
      <c r="Q156" s="70"/>
      <c r="R156" s="70"/>
      <c r="S156" s="70"/>
      <c r="T156" s="70"/>
    </row>
    <row r="157">
      <c r="A157" s="68"/>
      <c r="B157" s="69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70"/>
      <c r="N157" s="70"/>
      <c r="O157" s="70"/>
      <c r="P157" s="70"/>
      <c r="Q157" s="70"/>
      <c r="R157" s="70"/>
      <c r="S157" s="70"/>
      <c r="T157" s="70"/>
    </row>
    <row r="158">
      <c r="A158" s="68"/>
      <c r="B158" s="69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70"/>
      <c r="N158" s="70"/>
      <c r="O158" s="70"/>
      <c r="P158" s="70"/>
      <c r="Q158" s="70"/>
      <c r="R158" s="70"/>
      <c r="S158" s="70"/>
      <c r="T158" s="70"/>
    </row>
    <row r="159">
      <c r="A159" s="68"/>
      <c r="B159" s="69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70"/>
      <c r="N159" s="70"/>
      <c r="O159" s="70"/>
      <c r="P159" s="70"/>
      <c r="Q159" s="70"/>
      <c r="R159" s="70"/>
      <c r="S159" s="70"/>
      <c r="T159" s="70"/>
    </row>
    <row r="160">
      <c r="A160" s="68"/>
      <c r="B160" s="69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70"/>
      <c r="N160" s="70"/>
      <c r="O160" s="70"/>
      <c r="P160" s="70"/>
      <c r="Q160" s="70"/>
      <c r="R160" s="70"/>
      <c r="S160" s="70"/>
      <c r="T160" s="70"/>
    </row>
    <row r="161">
      <c r="A161" s="68"/>
      <c r="B161" s="69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70"/>
      <c r="N161" s="70"/>
      <c r="O161" s="70"/>
      <c r="P161" s="70"/>
      <c r="Q161" s="70"/>
      <c r="R161" s="70"/>
      <c r="S161" s="70"/>
      <c r="T161" s="70"/>
    </row>
    <row r="162">
      <c r="A162" s="68"/>
      <c r="B162" s="69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70"/>
      <c r="N162" s="70"/>
      <c r="O162" s="70"/>
      <c r="P162" s="70"/>
      <c r="Q162" s="70"/>
      <c r="R162" s="70"/>
      <c r="S162" s="70"/>
      <c r="T162" s="70"/>
    </row>
    <row r="163">
      <c r="A163" s="68"/>
      <c r="B163" s="69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70"/>
      <c r="N163" s="70"/>
      <c r="O163" s="70"/>
      <c r="P163" s="70"/>
      <c r="Q163" s="70"/>
      <c r="R163" s="70"/>
      <c r="S163" s="70"/>
      <c r="T163" s="70"/>
    </row>
    <row r="164">
      <c r="A164" s="68"/>
      <c r="B164" s="69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70"/>
      <c r="N164" s="70"/>
      <c r="O164" s="70"/>
      <c r="P164" s="70"/>
      <c r="Q164" s="70"/>
      <c r="R164" s="70"/>
      <c r="S164" s="70"/>
      <c r="T164" s="70"/>
    </row>
    <row r="165">
      <c r="A165" s="68"/>
      <c r="B165" s="69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70"/>
      <c r="N165" s="70"/>
      <c r="O165" s="70"/>
      <c r="P165" s="70"/>
      <c r="Q165" s="70"/>
      <c r="R165" s="70"/>
      <c r="S165" s="70"/>
      <c r="T165" s="70"/>
    </row>
    <row r="166">
      <c r="A166" s="68"/>
      <c r="B166" s="69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70"/>
      <c r="N166" s="70"/>
      <c r="O166" s="70"/>
      <c r="P166" s="70"/>
      <c r="Q166" s="70"/>
      <c r="R166" s="70"/>
      <c r="S166" s="70"/>
      <c r="T166" s="70"/>
    </row>
    <row r="167">
      <c r="A167" s="68"/>
      <c r="B167" s="69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70"/>
      <c r="N167" s="70"/>
      <c r="O167" s="70"/>
      <c r="P167" s="70"/>
      <c r="Q167" s="70"/>
      <c r="R167" s="70"/>
      <c r="S167" s="70"/>
      <c r="T167" s="70"/>
    </row>
    <row r="168">
      <c r="A168" s="68"/>
      <c r="B168" s="69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70"/>
      <c r="N168" s="70"/>
      <c r="O168" s="70"/>
      <c r="P168" s="70"/>
      <c r="Q168" s="70"/>
      <c r="R168" s="70"/>
      <c r="S168" s="70"/>
      <c r="T168" s="70"/>
    </row>
    <row r="169">
      <c r="A169" s="68"/>
      <c r="B169" s="69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70"/>
      <c r="N169" s="70"/>
      <c r="O169" s="70"/>
      <c r="P169" s="70"/>
      <c r="Q169" s="70"/>
      <c r="R169" s="70"/>
      <c r="S169" s="70"/>
      <c r="T169" s="70"/>
    </row>
    <row r="170">
      <c r="A170" s="68"/>
      <c r="B170" s="69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70"/>
      <c r="N170" s="70"/>
      <c r="O170" s="70"/>
      <c r="P170" s="70"/>
      <c r="Q170" s="70"/>
      <c r="R170" s="70"/>
      <c r="S170" s="70"/>
      <c r="T170" s="70"/>
    </row>
    <row r="171">
      <c r="A171" s="68"/>
      <c r="B171" s="69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70"/>
      <c r="N171" s="70"/>
      <c r="O171" s="70"/>
      <c r="P171" s="70"/>
      <c r="Q171" s="70"/>
      <c r="R171" s="70"/>
      <c r="S171" s="70"/>
      <c r="T171" s="70"/>
    </row>
    <row r="172">
      <c r="A172" s="68"/>
      <c r="B172" s="69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70"/>
      <c r="N172" s="70"/>
      <c r="O172" s="70"/>
      <c r="P172" s="70"/>
      <c r="Q172" s="70"/>
      <c r="R172" s="70"/>
      <c r="S172" s="70"/>
      <c r="T172" s="70"/>
    </row>
    <row r="173">
      <c r="A173" s="68"/>
      <c r="B173" s="69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70"/>
      <c r="N173" s="70"/>
      <c r="O173" s="70"/>
      <c r="P173" s="70"/>
      <c r="Q173" s="70"/>
      <c r="R173" s="70"/>
      <c r="S173" s="70"/>
      <c r="T173" s="70"/>
    </row>
    <row r="174">
      <c r="A174" s="68"/>
      <c r="B174" s="69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70"/>
      <c r="N174" s="70"/>
      <c r="O174" s="70"/>
      <c r="P174" s="70"/>
      <c r="Q174" s="70"/>
      <c r="R174" s="70"/>
      <c r="S174" s="70"/>
      <c r="T174" s="70"/>
    </row>
    <row r="175">
      <c r="A175" s="68"/>
      <c r="B175" s="69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70"/>
      <c r="N175" s="70"/>
      <c r="O175" s="70"/>
      <c r="P175" s="70"/>
      <c r="Q175" s="70"/>
      <c r="R175" s="70"/>
      <c r="S175" s="70"/>
      <c r="T175" s="70"/>
    </row>
    <row r="176">
      <c r="A176" s="68"/>
      <c r="B176" s="69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70"/>
      <c r="N176" s="70"/>
      <c r="O176" s="70"/>
      <c r="P176" s="70"/>
      <c r="Q176" s="70"/>
      <c r="R176" s="70"/>
      <c r="S176" s="70"/>
      <c r="T176" s="70"/>
    </row>
    <row r="177">
      <c r="A177" s="68"/>
      <c r="B177" s="69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70"/>
      <c r="N177" s="70"/>
      <c r="O177" s="70"/>
      <c r="P177" s="70"/>
      <c r="Q177" s="70"/>
      <c r="R177" s="70"/>
      <c r="S177" s="70"/>
      <c r="T177" s="70"/>
    </row>
    <row r="178">
      <c r="A178" s="68"/>
      <c r="B178" s="69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70"/>
      <c r="N178" s="70"/>
      <c r="O178" s="70"/>
      <c r="P178" s="70"/>
      <c r="Q178" s="70"/>
      <c r="R178" s="70"/>
      <c r="S178" s="70"/>
      <c r="T178" s="70"/>
    </row>
    <row r="179">
      <c r="A179" s="68"/>
      <c r="B179" s="69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70"/>
      <c r="N179" s="70"/>
      <c r="O179" s="70"/>
      <c r="P179" s="70"/>
      <c r="Q179" s="70"/>
      <c r="R179" s="70"/>
      <c r="S179" s="70"/>
      <c r="T179" s="70"/>
    </row>
    <row r="180">
      <c r="A180" s="68"/>
      <c r="B180" s="69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70"/>
      <c r="N180" s="70"/>
      <c r="O180" s="70"/>
      <c r="P180" s="70"/>
      <c r="Q180" s="70"/>
      <c r="R180" s="70"/>
      <c r="S180" s="70"/>
      <c r="T180" s="70"/>
    </row>
    <row r="181">
      <c r="A181" s="68"/>
      <c r="B181" s="69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70"/>
      <c r="N181" s="70"/>
      <c r="O181" s="70"/>
      <c r="P181" s="70"/>
      <c r="Q181" s="70"/>
      <c r="R181" s="70"/>
      <c r="S181" s="70"/>
      <c r="T181" s="70"/>
    </row>
    <row r="182">
      <c r="A182" s="68"/>
      <c r="B182" s="69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70"/>
      <c r="N182" s="70"/>
      <c r="O182" s="70"/>
      <c r="P182" s="70"/>
      <c r="Q182" s="70"/>
      <c r="R182" s="70"/>
      <c r="S182" s="70"/>
      <c r="T182" s="70"/>
    </row>
    <row r="183">
      <c r="A183" s="68"/>
      <c r="B183" s="69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70"/>
      <c r="N183" s="70"/>
      <c r="O183" s="70"/>
      <c r="P183" s="70"/>
      <c r="Q183" s="70"/>
      <c r="R183" s="70"/>
      <c r="S183" s="70"/>
      <c r="T183" s="70"/>
    </row>
    <row r="184">
      <c r="A184" s="68"/>
      <c r="B184" s="69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70"/>
      <c r="N184" s="70"/>
      <c r="O184" s="70"/>
      <c r="P184" s="70"/>
      <c r="Q184" s="70"/>
      <c r="R184" s="70"/>
      <c r="S184" s="70"/>
      <c r="T184" s="70"/>
    </row>
    <row r="185">
      <c r="A185" s="68"/>
      <c r="B185" s="69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70"/>
      <c r="N185" s="70"/>
      <c r="O185" s="70"/>
      <c r="P185" s="70"/>
      <c r="Q185" s="70"/>
      <c r="R185" s="70"/>
      <c r="S185" s="70"/>
      <c r="T185" s="70"/>
    </row>
    <row r="186">
      <c r="A186" s="68"/>
      <c r="B186" s="69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70"/>
      <c r="N186" s="70"/>
      <c r="O186" s="70"/>
      <c r="P186" s="70"/>
      <c r="Q186" s="70"/>
      <c r="R186" s="70"/>
      <c r="S186" s="70"/>
      <c r="T186" s="70"/>
    </row>
    <row r="187">
      <c r="A187" s="68"/>
      <c r="B187" s="69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70"/>
      <c r="N187" s="70"/>
      <c r="O187" s="70"/>
      <c r="P187" s="70"/>
      <c r="Q187" s="70"/>
      <c r="R187" s="70"/>
      <c r="S187" s="70"/>
      <c r="T187" s="70"/>
    </row>
    <row r="188">
      <c r="A188" s="68"/>
      <c r="B188" s="69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70"/>
      <c r="N188" s="70"/>
      <c r="O188" s="70"/>
      <c r="P188" s="70"/>
      <c r="Q188" s="70"/>
      <c r="R188" s="70"/>
      <c r="S188" s="70"/>
      <c r="T188" s="70"/>
    </row>
    <row r="189">
      <c r="A189" s="68"/>
      <c r="B189" s="69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70"/>
      <c r="N189" s="70"/>
      <c r="O189" s="70"/>
      <c r="P189" s="70"/>
      <c r="Q189" s="70"/>
      <c r="R189" s="70"/>
      <c r="S189" s="70"/>
      <c r="T189" s="70"/>
    </row>
    <row r="190">
      <c r="A190" s="68"/>
      <c r="B190" s="69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70"/>
      <c r="N190" s="70"/>
      <c r="O190" s="70"/>
      <c r="P190" s="70"/>
      <c r="Q190" s="70"/>
      <c r="R190" s="70"/>
      <c r="S190" s="70"/>
      <c r="T190" s="70"/>
    </row>
    <row r="191">
      <c r="A191" s="68"/>
      <c r="B191" s="69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70"/>
      <c r="N191" s="70"/>
      <c r="O191" s="70"/>
      <c r="P191" s="70"/>
      <c r="Q191" s="70"/>
      <c r="R191" s="70"/>
      <c r="S191" s="70"/>
      <c r="T191" s="70"/>
    </row>
    <row r="192">
      <c r="A192" s="68"/>
      <c r="B192" s="69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70"/>
      <c r="N192" s="70"/>
      <c r="O192" s="70"/>
      <c r="P192" s="70"/>
      <c r="Q192" s="70"/>
      <c r="R192" s="70"/>
      <c r="S192" s="70"/>
      <c r="T192" s="70"/>
    </row>
    <row r="193">
      <c r="A193" s="68"/>
      <c r="B193" s="69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70"/>
      <c r="N193" s="70"/>
      <c r="O193" s="70"/>
      <c r="P193" s="70"/>
      <c r="Q193" s="70"/>
      <c r="R193" s="70"/>
      <c r="S193" s="70"/>
      <c r="T193" s="70"/>
    </row>
    <row r="194">
      <c r="A194" s="68"/>
      <c r="B194" s="69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70"/>
      <c r="N194" s="70"/>
      <c r="O194" s="70"/>
      <c r="P194" s="70"/>
      <c r="Q194" s="70"/>
      <c r="R194" s="70"/>
      <c r="S194" s="70"/>
      <c r="T194" s="70"/>
    </row>
    <row r="195">
      <c r="A195" s="68"/>
      <c r="B195" s="69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70"/>
      <c r="N195" s="70"/>
      <c r="O195" s="70"/>
      <c r="P195" s="70"/>
      <c r="Q195" s="70"/>
      <c r="R195" s="70"/>
      <c r="S195" s="70"/>
      <c r="T195" s="70"/>
    </row>
    <row r="196">
      <c r="A196" s="68"/>
      <c r="B196" s="69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70"/>
      <c r="N196" s="70"/>
      <c r="O196" s="70"/>
      <c r="P196" s="70"/>
      <c r="Q196" s="70"/>
      <c r="R196" s="70"/>
      <c r="S196" s="70"/>
      <c r="T196" s="70"/>
    </row>
    <row r="197">
      <c r="A197" s="68"/>
      <c r="B197" s="69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70"/>
      <c r="N197" s="70"/>
      <c r="O197" s="70"/>
      <c r="P197" s="70"/>
      <c r="Q197" s="70"/>
      <c r="R197" s="70"/>
      <c r="S197" s="70"/>
      <c r="T197" s="70"/>
    </row>
    <row r="198">
      <c r="A198" s="68"/>
      <c r="B198" s="69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70"/>
      <c r="N198" s="70"/>
      <c r="O198" s="70"/>
      <c r="P198" s="70"/>
      <c r="Q198" s="70"/>
      <c r="R198" s="70"/>
      <c r="S198" s="70"/>
      <c r="T198" s="70"/>
    </row>
    <row r="199">
      <c r="A199" s="68"/>
      <c r="B199" s="69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70"/>
      <c r="N199" s="70"/>
      <c r="O199" s="70"/>
      <c r="P199" s="70"/>
      <c r="Q199" s="70"/>
      <c r="R199" s="70"/>
      <c r="S199" s="70"/>
      <c r="T199" s="70"/>
    </row>
    <row r="200">
      <c r="A200" s="68"/>
      <c r="B200" s="69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70"/>
      <c r="N200" s="70"/>
      <c r="O200" s="70"/>
      <c r="P200" s="70"/>
      <c r="Q200" s="70"/>
      <c r="R200" s="70"/>
      <c r="S200" s="70"/>
      <c r="T200" s="70"/>
    </row>
    <row r="201">
      <c r="A201" s="68"/>
      <c r="B201" s="69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70"/>
      <c r="N201" s="70"/>
      <c r="O201" s="70"/>
      <c r="P201" s="70"/>
      <c r="Q201" s="70"/>
      <c r="R201" s="70"/>
      <c r="S201" s="70"/>
      <c r="T201" s="70"/>
    </row>
    <row r="202">
      <c r="A202" s="68"/>
      <c r="B202" s="69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70"/>
      <c r="N202" s="70"/>
      <c r="O202" s="70"/>
      <c r="P202" s="70"/>
      <c r="Q202" s="70"/>
      <c r="R202" s="70"/>
      <c r="S202" s="70"/>
      <c r="T202" s="70"/>
    </row>
    <row r="203">
      <c r="A203" s="68"/>
      <c r="B203" s="69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70"/>
      <c r="N203" s="70"/>
      <c r="O203" s="70"/>
      <c r="P203" s="70"/>
      <c r="Q203" s="70"/>
      <c r="R203" s="70"/>
      <c r="S203" s="70"/>
      <c r="T203" s="70"/>
    </row>
    <row r="204">
      <c r="A204" s="68"/>
      <c r="B204" s="69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70"/>
      <c r="N204" s="70"/>
      <c r="O204" s="70"/>
      <c r="P204" s="70"/>
      <c r="Q204" s="70"/>
      <c r="R204" s="70"/>
      <c r="S204" s="70"/>
      <c r="T204" s="70"/>
    </row>
    <row r="205">
      <c r="A205" s="68"/>
      <c r="B205" s="69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70"/>
      <c r="N205" s="70"/>
      <c r="O205" s="70"/>
      <c r="P205" s="70"/>
      <c r="Q205" s="70"/>
      <c r="R205" s="70"/>
      <c r="S205" s="70"/>
      <c r="T205" s="70"/>
    </row>
    <row r="206">
      <c r="A206" s="68"/>
      <c r="B206" s="69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70"/>
      <c r="N206" s="70"/>
      <c r="O206" s="70"/>
      <c r="P206" s="70"/>
      <c r="Q206" s="70"/>
      <c r="R206" s="70"/>
      <c r="S206" s="70"/>
      <c r="T206" s="70"/>
    </row>
    <row r="207">
      <c r="A207" s="68"/>
      <c r="B207" s="69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70"/>
      <c r="N207" s="70"/>
      <c r="O207" s="70"/>
      <c r="P207" s="70"/>
      <c r="Q207" s="70"/>
      <c r="R207" s="70"/>
      <c r="S207" s="70"/>
      <c r="T207" s="70"/>
    </row>
    <row r="208">
      <c r="A208" s="68"/>
      <c r="B208" s="69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70"/>
      <c r="N208" s="70"/>
      <c r="O208" s="70"/>
      <c r="P208" s="70"/>
      <c r="Q208" s="70"/>
      <c r="R208" s="70"/>
      <c r="S208" s="70"/>
      <c r="T208" s="70"/>
    </row>
    <row r="209">
      <c r="A209" s="68"/>
      <c r="B209" s="69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70"/>
      <c r="N209" s="70"/>
      <c r="O209" s="70"/>
      <c r="P209" s="70"/>
      <c r="Q209" s="70"/>
      <c r="R209" s="70"/>
      <c r="S209" s="70"/>
      <c r="T209" s="70"/>
    </row>
    <row r="210">
      <c r="A210" s="68"/>
      <c r="B210" s="69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70"/>
      <c r="N210" s="70"/>
      <c r="O210" s="70"/>
      <c r="P210" s="70"/>
      <c r="Q210" s="70"/>
      <c r="R210" s="70"/>
      <c r="S210" s="70"/>
      <c r="T210" s="70"/>
    </row>
    <row r="211">
      <c r="A211" s="68"/>
      <c r="B211" s="69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70"/>
      <c r="N211" s="70"/>
      <c r="O211" s="70"/>
      <c r="P211" s="70"/>
      <c r="Q211" s="70"/>
      <c r="R211" s="70"/>
      <c r="S211" s="70"/>
      <c r="T211" s="70"/>
    </row>
    <row r="212">
      <c r="A212" s="68"/>
      <c r="B212" s="69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70"/>
      <c r="N212" s="70"/>
      <c r="O212" s="70"/>
      <c r="P212" s="70"/>
      <c r="Q212" s="70"/>
      <c r="R212" s="70"/>
      <c r="S212" s="70"/>
      <c r="T212" s="70"/>
    </row>
    <row r="213">
      <c r="A213" s="68"/>
      <c r="B213" s="69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70"/>
      <c r="N213" s="70"/>
      <c r="O213" s="70"/>
      <c r="P213" s="70"/>
      <c r="Q213" s="70"/>
      <c r="R213" s="70"/>
      <c r="S213" s="70"/>
      <c r="T213" s="70"/>
    </row>
    <row r="214">
      <c r="A214" s="68"/>
      <c r="B214" s="69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70"/>
      <c r="N214" s="70"/>
      <c r="O214" s="70"/>
      <c r="P214" s="70"/>
      <c r="Q214" s="70"/>
      <c r="R214" s="70"/>
      <c r="S214" s="70"/>
      <c r="T214" s="70"/>
    </row>
    <row r="215">
      <c r="A215" s="68"/>
      <c r="B215" s="69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70"/>
      <c r="N215" s="70"/>
      <c r="O215" s="70"/>
      <c r="P215" s="70"/>
      <c r="Q215" s="70"/>
      <c r="R215" s="70"/>
      <c r="S215" s="70"/>
      <c r="T215" s="70"/>
    </row>
    <row r="216">
      <c r="A216" s="68"/>
      <c r="B216" s="69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70"/>
      <c r="N216" s="70"/>
      <c r="O216" s="70"/>
      <c r="P216" s="70"/>
      <c r="Q216" s="70"/>
      <c r="R216" s="70"/>
      <c r="S216" s="70"/>
      <c r="T216" s="70"/>
    </row>
    <row r="217">
      <c r="A217" s="68"/>
      <c r="B217" s="69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70"/>
      <c r="N217" s="70"/>
      <c r="O217" s="70"/>
      <c r="P217" s="70"/>
      <c r="Q217" s="70"/>
      <c r="R217" s="70"/>
      <c r="S217" s="70"/>
      <c r="T217" s="70"/>
    </row>
    <row r="218">
      <c r="A218" s="68"/>
      <c r="B218" s="69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70"/>
      <c r="N218" s="70"/>
      <c r="O218" s="70"/>
      <c r="P218" s="70"/>
      <c r="Q218" s="70"/>
      <c r="R218" s="70"/>
      <c r="S218" s="70"/>
      <c r="T218" s="70"/>
    </row>
    <row r="219">
      <c r="A219" s="68"/>
      <c r="B219" s="69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70"/>
      <c r="N219" s="70"/>
      <c r="O219" s="70"/>
      <c r="P219" s="70"/>
      <c r="Q219" s="70"/>
      <c r="R219" s="70"/>
      <c r="S219" s="70"/>
      <c r="T219" s="70"/>
    </row>
    <row r="220">
      <c r="A220" s="68"/>
      <c r="B220" s="69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70"/>
      <c r="N220" s="70"/>
      <c r="O220" s="70"/>
      <c r="P220" s="70"/>
      <c r="Q220" s="70"/>
      <c r="R220" s="70"/>
      <c r="S220" s="70"/>
      <c r="T220" s="70"/>
    </row>
    <row r="221">
      <c r="A221" s="68"/>
      <c r="B221" s="69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70"/>
      <c r="N221" s="70"/>
      <c r="O221" s="70"/>
      <c r="P221" s="70"/>
      <c r="Q221" s="70"/>
      <c r="R221" s="70"/>
      <c r="S221" s="70"/>
      <c r="T221" s="70"/>
    </row>
    <row r="222">
      <c r="A222" s="68"/>
      <c r="B222" s="69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70"/>
      <c r="N222" s="70"/>
      <c r="O222" s="70"/>
      <c r="P222" s="70"/>
      <c r="Q222" s="70"/>
      <c r="R222" s="70"/>
      <c r="S222" s="70"/>
      <c r="T222" s="70"/>
    </row>
    <row r="223">
      <c r="A223" s="68"/>
      <c r="B223" s="69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70"/>
      <c r="N223" s="70"/>
      <c r="O223" s="70"/>
      <c r="P223" s="70"/>
      <c r="Q223" s="70"/>
      <c r="R223" s="70"/>
      <c r="S223" s="70"/>
      <c r="T223" s="70"/>
    </row>
    <row r="224">
      <c r="A224" s="68"/>
      <c r="B224" s="69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70"/>
      <c r="N224" s="70"/>
      <c r="O224" s="70"/>
      <c r="P224" s="70"/>
      <c r="Q224" s="70"/>
      <c r="R224" s="70"/>
      <c r="S224" s="70"/>
      <c r="T224" s="70"/>
    </row>
    <row r="225">
      <c r="A225" s="68"/>
      <c r="B225" s="69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70"/>
      <c r="N225" s="70"/>
      <c r="O225" s="70"/>
      <c r="P225" s="70"/>
      <c r="Q225" s="70"/>
      <c r="R225" s="70"/>
      <c r="S225" s="70"/>
      <c r="T225" s="70"/>
    </row>
    <row r="226">
      <c r="A226" s="68"/>
      <c r="B226" s="69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70"/>
      <c r="N226" s="70"/>
      <c r="O226" s="70"/>
      <c r="P226" s="70"/>
      <c r="Q226" s="70"/>
      <c r="R226" s="70"/>
      <c r="S226" s="70"/>
      <c r="T226" s="70"/>
    </row>
    <row r="227">
      <c r="A227" s="68"/>
      <c r="B227" s="69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70"/>
      <c r="N227" s="70"/>
      <c r="O227" s="70"/>
      <c r="P227" s="70"/>
      <c r="Q227" s="70"/>
      <c r="R227" s="70"/>
      <c r="S227" s="70"/>
      <c r="T227" s="70"/>
    </row>
    <row r="228">
      <c r="A228" s="68"/>
      <c r="B228" s="69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70"/>
      <c r="N228" s="70"/>
      <c r="O228" s="70"/>
      <c r="P228" s="70"/>
      <c r="Q228" s="70"/>
      <c r="R228" s="70"/>
      <c r="S228" s="70"/>
      <c r="T228" s="70"/>
    </row>
    <row r="229">
      <c r="A229" s="68"/>
      <c r="B229" s="69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70"/>
      <c r="N229" s="70"/>
      <c r="O229" s="70"/>
      <c r="P229" s="70"/>
      <c r="Q229" s="70"/>
      <c r="R229" s="70"/>
      <c r="S229" s="70"/>
      <c r="T229" s="70"/>
    </row>
    <row r="230">
      <c r="A230" s="68"/>
      <c r="B230" s="69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70"/>
      <c r="N230" s="70"/>
      <c r="O230" s="70"/>
      <c r="P230" s="70"/>
      <c r="Q230" s="70"/>
      <c r="R230" s="70"/>
      <c r="S230" s="70"/>
      <c r="T230" s="70"/>
    </row>
    <row r="231">
      <c r="A231" s="68"/>
      <c r="B231" s="69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70"/>
      <c r="N231" s="70"/>
      <c r="O231" s="70"/>
      <c r="P231" s="70"/>
      <c r="Q231" s="70"/>
      <c r="R231" s="70"/>
      <c r="S231" s="70"/>
      <c r="T231" s="70"/>
    </row>
    <row r="232">
      <c r="A232" s="68"/>
      <c r="B232" s="69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70"/>
      <c r="N232" s="70"/>
      <c r="O232" s="70"/>
      <c r="P232" s="70"/>
      <c r="Q232" s="70"/>
      <c r="R232" s="70"/>
      <c r="S232" s="70"/>
      <c r="T232" s="70"/>
    </row>
    <row r="233">
      <c r="A233" s="68"/>
      <c r="B233" s="69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70"/>
      <c r="N233" s="70"/>
      <c r="O233" s="70"/>
      <c r="P233" s="70"/>
      <c r="Q233" s="70"/>
      <c r="R233" s="70"/>
      <c r="S233" s="70"/>
      <c r="T233" s="70"/>
    </row>
    <row r="234">
      <c r="A234" s="68"/>
      <c r="B234" s="69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70"/>
      <c r="N234" s="70"/>
      <c r="O234" s="70"/>
      <c r="P234" s="70"/>
      <c r="Q234" s="70"/>
      <c r="R234" s="70"/>
      <c r="S234" s="70"/>
      <c r="T234" s="70"/>
    </row>
    <row r="235">
      <c r="A235" s="68"/>
      <c r="B235" s="69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70"/>
      <c r="N235" s="70"/>
      <c r="O235" s="70"/>
      <c r="P235" s="70"/>
      <c r="Q235" s="70"/>
      <c r="R235" s="70"/>
      <c r="S235" s="70"/>
      <c r="T235" s="70"/>
    </row>
    <row r="236">
      <c r="A236" s="68"/>
      <c r="B236" s="69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70"/>
      <c r="N236" s="70"/>
      <c r="O236" s="70"/>
      <c r="P236" s="70"/>
      <c r="Q236" s="70"/>
      <c r="R236" s="70"/>
      <c r="S236" s="70"/>
      <c r="T236" s="70"/>
    </row>
    <row r="237">
      <c r="A237" s="68"/>
      <c r="B237" s="69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70"/>
      <c r="N237" s="70"/>
      <c r="O237" s="70"/>
      <c r="P237" s="70"/>
      <c r="Q237" s="70"/>
      <c r="R237" s="70"/>
      <c r="S237" s="70"/>
      <c r="T237" s="70"/>
    </row>
    <row r="238">
      <c r="A238" s="68"/>
      <c r="B238" s="69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70"/>
      <c r="N238" s="70"/>
      <c r="O238" s="70"/>
      <c r="P238" s="70"/>
      <c r="Q238" s="70"/>
      <c r="R238" s="70"/>
      <c r="S238" s="70"/>
      <c r="T238" s="70"/>
    </row>
    <row r="239">
      <c r="A239" s="68"/>
      <c r="B239" s="69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70"/>
      <c r="N239" s="70"/>
      <c r="O239" s="70"/>
      <c r="P239" s="70"/>
      <c r="Q239" s="70"/>
      <c r="R239" s="70"/>
      <c r="S239" s="70"/>
      <c r="T239" s="70"/>
    </row>
    <row r="240">
      <c r="A240" s="68"/>
      <c r="B240" s="69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70"/>
      <c r="N240" s="70"/>
      <c r="O240" s="70"/>
      <c r="P240" s="70"/>
      <c r="Q240" s="70"/>
      <c r="R240" s="70"/>
      <c r="S240" s="70"/>
      <c r="T240" s="70"/>
    </row>
    <row r="241">
      <c r="A241" s="68"/>
      <c r="B241" s="69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70"/>
      <c r="N241" s="70"/>
      <c r="O241" s="70"/>
      <c r="P241" s="70"/>
      <c r="Q241" s="70"/>
      <c r="R241" s="70"/>
      <c r="S241" s="70"/>
      <c r="T241" s="70"/>
    </row>
    <row r="242">
      <c r="A242" s="68"/>
      <c r="B242" s="69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70"/>
      <c r="N242" s="70"/>
      <c r="O242" s="70"/>
      <c r="P242" s="70"/>
      <c r="Q242" s="70"/>
      <c r="R242" s="70"/>
      <c r="S242" s="70"/>
      <c r="T242" s="70"/>
    </row>
    <row r="243">
      <c r="A243" s="68"/>
      <c r="B243" s="69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70"/>
      <c r="N243" s="70"/>
      <c r="O243" s="70"/>
      <c r="P243" s="70"/>
      <c r="Q243" s="70"/>
      <c r="R243" s="70"/>
      <c r="S243" s="70"/>
      <c r="T243" s="70"/>
    </row>
    <row r="244">
      <c r="A244" s="68"/>
      <c r="B244" s="69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70"/>
      <c r="N244" s="70"/>
      <c r="O244" s="70"/>
      <c r="P244" s="70"/>
      <c r="Q244" s="70"/>
      <c r="R244" s="70"/>
      <c r="S244" s="70"/>
      <c r="T244" s="70"/>
    </row>
    <row r="245">
      <c r="A245" s="68"/>
      <c r="B245" s="69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70"/>
      <c r="N245" s="70"/>
      <c r="O245" s="70"/>
      <c r="P245" s="70"/>
      <c r="Q245" s="70"/>
      <c r="R245" s="70"/>
      <c r="S245" s="70"/>
      <c r="T245" s="70"/>
    </row>
    <row r="246">
      <c r="A246" s="68"/>
      <c r="B246" s="69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70"/>
      <c r="N246" s="70"/>
      <c r="O246" s="70"/>
      <c r="P246" s="70"/>
      <c r="Q246" s="70"/>
      <c r="R246" s="70"/>
      <c r="S246" s="70"/>
      <c r="T246" s="70"/>
    </row>
    <row r="247">
      <c r="A247" s="68"/>
      <c r="B247" s="69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70"/>
      <c r="N247" s="70"/>
      <c r="O247" s="70"/>
      <c r="P247" s="70"/>
      <c r="Q247" s="70"/>
      <c r="R247" s="70"/>
      <c r="S247" s="70"/>
      <c r="T247" s="70"/>
    </row>
    <row r="248">
      <c r="A248" s="68"/>
      <c r="B248" s="69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70"/>
      <c r="N248" s="70"/>
      <c r="O248" s="70"/>
      <c r="P248" s="70"/>
      <c r="Q248" s="70"/>
      <c r="R248" s="70"/>
      <c r="S248" s="70"/>
      <c r="T248" s="70"/>
    </row>
    <row r="249">
      <c r="A249" s="68"/>
      <c r="B249" s="69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70"/>
      <c r="N249" s="70"/>
      <c r="O249" s="70"/>
      <c r="P249" s="70"/>
      <c r="Q249" s="70"/>
      <c r="R249" s="70"/>
      <c r="S249" s="70"/>
      <c r="T249" s="70"/>
    </row>
    <row r="250">
      <c r="A250" s="68"/>
      <c r="B250" s="69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70"/>
      <c r="N250" s="70"/>
      <c r="O250" s="70"/>
      <c r="P250" s="70"/>
      <c r="Q250" s="70"/>
      <c r="R250" s="70"/>
      <c r="S250" s="70"/>
      <c r="T250" s="70"/>
    </row>
    <row r="251">
      <c r="A251" s="68"/>
      <c r="B251" s="69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70"/>
      <c r="N251" s="70"/>
      <c r="O251" s="70"/>
      <c r="P251" s="70"/>
      <c r="Q251" s="70"/>
      <c r="R251" s="70"/>
      <c r="S251" s="70"/>
      <c r="T251" s="70"/>
    </row>
    <row r="252">
      <c r="A252" s="68"/>
      <c r="B252" s="69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70"/>
      <c r="N252" s="70"/>
      <c r="O252" s="70"/>
      <c r="P252" s="70"/>
      <c r="Q252" s="70"/>
      <c r="R252" s="70"/>
      <c r="S252" s="70"/>
      <c r="T252" s="70"/>
    </row>
    <row r="253">
      <c r="A253" s="68"/>
      <c r="B253" s="69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70"/>
      <c r="N253" s="70"/>
      <c r="O253" s="70"/>
      <c r="P253" s="70"/>
      <c r="Q253" s="70"/>
      <c r="R253" s="70"/>
      <c r="S253" s="70"/>
      <c r="T253" s="70"/>
    </row>
    <row r="254">
      <c r="A254" s="68"/>
      <c r="B254" s="69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70"/>
      <c r="N254" s="70"/>
      <c r="O254" s="70"/>
      <c r="P254" s="70"/>
      <c r="Q254" s="70"/>
      <c r="R254" s="70"/>
      <c r="S254" s="70"/>
      <c r="T254" s="70"/>
    </row>
    <row r="255">
      <c r="A255" s="68"/>
      <c r="B255" s="69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70"/>
      <c r="N255" s="70"/>
      <c r="O255" s="70"/>
      <c r="P255" s="70"/>
      <c r="Q255" s="70"/>
      <c r="R255" s="70"/>
      <c r="S255" s="70"/>
      <c r="T255" s="70"/>
    </row>
    <row r="256">
      <c r="A256" s="68"/>
      <c r="B256" s="69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70"/>
      <c r="N256" s="70"/>
      <c r="O256" s="70"/>
      <c r="P256" s="70"/>
      <c r="Q256" s="70"/>
      <c r="R256" s="70"/>
      <c r="S256" s="70"/>
      <c r="T256" s="70"/>
    </row>
    <row r="257">
      <c r="A257" s="68"/>
      <c r="B257" s="69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70"/>
      <c r="N257" s="70"/>
      <c r="O257" s="70"/>
      <c r="P257" s="70"/>
      <c r="Q257" s="70"/>
      <c r="R257" s="70"/>
      <c r="S257" s="70"/>
      <c r="T257" s="70"/>
    </row>
    <row r="258">
      <c r="A258" s="68"/>
      <c r="B258" s="69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70"/>
      <c r="N258" s="70"/>
      <c r="O258" s="70"/>
      <c r="P258" s="70"/>
      <c r="Q258" s="70"/>
      <c r="R258" s="70"/>
      <c r="S258" s="70"/>
      <c r="T258" s="70"/>
    </row>
    <row r="259">
      <c r="A259" s="68"/>
      <c r="B259" s="69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70"/>
      <c r="N259" s="70"/>
      <c r="O259" s="70"/>
      <c r="P259" s="70"/>
      <c r="Q259" s="70"/>
      <c r="R259" s="70"/>
      <c r="S259" s="70"/>
      <c r="T259" s="70"/>
    </row>
    <row r="260">
      <c r="A260" s="68"/>
      <c r="B260" s="69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70"/>
      <c r="N260" s="70"/>
      <c r="O260" s="70"/>
      <c r="P260" s="70"/>
      <c r="Q260" s="70"/>
      <c r="R260" s="70"/>
      <c r="S260" s="70"/>
      <c r="T260" s="70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76" t="s">
        <v>47</v>
      </c>
      <c r="B1" s="76" t="s">
        <v>100</v>
      </c>
      <c r="C1" s="76" t="s">
        <v>101</v>
      </c>
      <c r="D1" s="76" t="s">
        <v>102</v>
      </c>
      <c r="E1" s="76" t="s">
        <v>103</v>
      </c>
      <c r="F1" s="76" t="s">
        <v>48</v>
      </c>
      <c r="G1" s="76" t="s">
        <v>104</v>
      </c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</row>
    <row r="2">
      <c r="A2" s="82">
        <v>45894.0</v>
      </c>
      <c r="B2" s="83">
        <v>3465.38</v>
      </c>
      <c r="C2" s="84">
        <v>970.8</v>
      </c>
      <c r="D2" s="84">
        <v>0.0</v>
      </c>
      <c r="E2" s="84">
        <v>4436.18</v>
      </c>
      <c r="F2" s="85">
        <v>1.07</v>
      </c>
      <c r="G2" s="76" t="s">
        <v>105</v>
      </c>
      <c r="H2" s="82"/>
      <c r="I2" s="74"/>
      <c r="J2" s="74"/>
      <c r="K2" s="74"/>
      <c r="L2" s="74"/>
      <c r="M2" s="74"/>
      <c r="N2" s="74"/>
      <c r="O2" s="74"/>
      <c r="P2" s="82"/>
      <c r="Q2" s="86"/>
      <c r="R2" s="74"/>
      <c r="S2" s="74"/>
      <c r="T2" s="74"/>
    </row>
    <row r="3">
      <c r="A3" s="87">
        <v>45895.0</v>
      </c>
      <c r="B3" s="80">
        <v>3465.38</v>
      </c>
      <c r="C3" s="80">
        <v>975.06</v>
      </c>
      <c r="D3" s="80">
        <v>0.0</v>
      </c>
      <c r="E3" s="80">
        <v>4440.44</v>
      </c>
      <c r="F3" s="88">
        <v>1.07</v>
      </c>
      <c r="G3" s="80" t="s">
        <v>106</v>
      </c>
      <c r="H3" s="69"/>
      <c r="I3" s="68"/>
      <c r="J3" s="68"/>
      <c r="K3" s="68"/>
      <c r="L3" s="68"/>
      <c r="M3" s="70"/>
      <c r="N3" s="70"/>
      <c r="O3" s="70"/>
      <c r="P3" s="89"/>
      <c r="Q3" s="90"/>
      <c r="R3" s="70"/>
      <c r="S3" s="70"/>
      <c r="T3" s="70"/>
    </row>
    <row r="4">
      <c r="A4" s="87">
        <v>45896.0</v>
      </c>
      <c r="B4" s="80">
        <v>3465.38</v>
      </c>
      <c r="C4" s="80">
        <v>979.66</v>
      </c>
      <c r="D4" s="80">
        <v>0.0</v>
      </c>
      <c r="E4" s="80">
        <v>4445.04</v>
      </c>
      <c r="F4" s="88">
        <v>1.07</v>
      </c>
      <c r="G4" s="80" t="s">
        <v>106</v>
      </c>
      <c r="H4" s="69"/>
      <c r="I4" s="68"/>
      <c r="J4" s="68"/>
      <c r="K4" s="68"/>
      <c r="L4" s="68"/>
      <c r="M4" s="70"/>
      <c r="N4" s="70"/>
      <c r="O4" s="70"/>
      <c r="P4" s="89"/>
      <c r="Q4" s="90"/>
      <c r="R4" s="70"/>
      <c r="S4" s="70"/>
      <c r="T4" s="70"/>
    </row>
    <row r="5">
      <c r="A5" s="87">
        <v>45897.0</v>
      </c>
      <c r="B5" s="80">
        <v>3465.38</v>
      </c>
      <c r="C5" s="80">
        <v>987.49</v>
      </c>
      <c r="D5" s="80">
        <v>0.0</v>
      </c>
      <c r="E5" s="80">
        <v>4452.87</v>
      </c>
      <c r="F5" s="88">
        <v>1.07</v>
      </c>
      <c r="G5" s="80" t="s">
        <v>106</v>
      </c>
      <c r="H5" s="69"/>
      <c r="I5" s="68"/>
      <c r="J5" s="68"/>
      <c r="K5" s="68"/>
      <c r="L5" s="68"/>
      <c r="M5" s="70"/>
      <c r="N5" s="70"/>
      <c r="O5" s="70"/>
      <c r="P5" s="89"/>
      <c r="Q5" s="90"/>
      <c r="R5" s="70"/>
      <c r="S5" s="70"/>
      <c r="T5" s="70"/>
    </row>
    <row r="6">
      <c r="A6" s="87">
        <v>45898.0</v>
      </c>
      <c r="B6" s="80">
        <v>3465.38</v>
      </c>
      <c r="C6" s="80">
        <v>999.54</v>
      </c>
      <c r="D6" s="80">
        <v>0.0</v>
      </c>
      <c r="E6" s="80">
        <v>4464.92</v>
      </c>
      <c r="F6" s="88">
        <v>1.07</v>
      </c>
      <c r="G6" s="80" t="s">
        <v>106</v>
      </c>
      <c r="H6" s="69"/>
      <c r="I6" s="68"/>
      <c r="J6" s="68"/>
      <c r="K6" s="68"/>
      <c r="L6" s="68"/>
      <c r="M6" s="70"/>
      <c r="N6" s="70"/>
      <c r="O6" s="70"/>
      <c r="P6" s="89"/>
      <c r="Q6" s="90"/>
      <c r="R6" s="70"/>
      <c r="S6" s="70"/>
      <c r="T6" s="70"/>
    </row>
    <row r="7">
      <c r="A7" s="87">
        <v>45899.0</v>
      </c>
      <c r="B7" s="80">
        <v>3465.38</v>
      </c>
      <c r="C7" s="80">
        <v>999.54</v>
      </c>
      <c r="D7" s="80">
        <v>0.0</v>
      </c>
      <c r="E7" s="80">
        <v>4464.92</v>
      </c>
      <c r="F7" s="88">
        <v>1.07</v>
      </c>
      <c r="G7" s="80" t="s">
        <v>106</v>
      </c>
      <c r="H7" s="69"/>
      <c r="I7" s="68"/>
      <c r="J7" s="68"/>
      <c r="K7" s="68"/>
      <c r="L7" s="68"/>
      <c r="M7" s="70"/>
      <c r="N7" s="70"/>
      <c r="O7" s="70"/>
      <c r="P7" s="89"/>
      <c r="Q7" s="90"/>
      <c r="R7" s="70"/>
      <c r="S7" s="70"/>
      <c r="T7" s="70"/>
    </row>
    <row r="8">
      <c r="A8" s="87">
        <v>45900.0</v>
      </c>
      <c r="B8" s="80">
        <v>3465.38</v>
      </c>
      <c r="C8" s="80">
        <v>999.54</v>
      </c>
      <c r="D8" s="80">
        <v>0.0</v>
      </c>
      <c r="E8" s="80">
        <v>4464.92</v>
      </c>
      <c r="F8" s="88">
        <v>1.07</v>
      </c>
      <c r="G8" s="80" t="s">
        <v>107</v>
      </c>
      <c r="H8" s="69"/>
      <c r="I8" s="68"/>
      <c r="J8" s="68"/>
      <c r="K8" s="68"/>
      <c r="L8" s="68"/>
      <c r="M8" s="70"/>
      <c r="N8" s="70"/>
      <c r="O8" s="70"/>
      <c r="P8" s="89"/>
      <c r="Q8" s="90"/>
      <c r="R8" s="70"/>
      <c r="S8" s="70"/>
      <c r="T8" s="70"/>
    </row>
    <row r="9">
      <c r="A9" s="87">
        <v>45901.0</v>
      </c>
      <c r="B9" s="80">
        <v>3465.38</v>
      </c>
      <c r="C9" s="80">
        <v>999.54</v>
      </c>
      <c r="D9" s="80">
        <v>0.0</v>
      </c>
      <c r="E9" s="80">
        <v>4464.92</v>
      </c>
      <c r="F9" s="88">
        <v>1.07</v>
      </c>
      <c r="G9" s="80" t="s">
        <v>106</v>
      </c>
      <c r="H9" s="69"/>
      <c r="I9" s="68"/>
      <c r="J9" s="68"/>
      <c r="K9" s="68"/>
      <c r="L9" s="68"/>
      <c r="M9" s="70"/>
      <c r="N9" s="70"/>
      <c r="O9" s="70"/>
      <c r="P9" s="89"/>
      <c r="Q9" s="90"/>
      <c r="R9" s="70"/>
      <c r="S9" s="70"/>
      <c r="T9" s="70"/>
    </row>
    <row r="10">
      <c r="A10" s="87">
        <v>45902.0</v>
      </c>
      <c r="B10" s="80">
        <v>3465.38</v>
      </c>
      <c r="C10" s="80">
        <v>1021.33</v>
      </c>
      <c r="D10" s="80">
        <v>0.0</v>
      </c>
      <c r="E10" s="80">
        <v>4486.71</v>
      </c>
      <c r="F10" s="88">
        <v>1.08</v>
      </c>
      <c r="G10" s="80" t="s">
        <v>106</v>
      </c>
      <c r="H10" s="69"/>
      <c r="I10" s="68"/>
      <c r="J10" s="68"/>
      <c r="K10" s="68"/>
      <c r="L10" s="68"/>
      <c r="M10" s="70"/>
      <c r="N10" s="70"/>
      <c r="O10" s="70"/>
      <c r="P10" s="89"/>
      <c r="Q10" s="90"/>
      <c r="R10" s="70"/>
      <c r="S10" s="70"/>
      <c r="T10" s="70"/>
    </row>
    <row r="11">
      <c r="A11" s="87">
        <v>45903.0</v>
      </c>
      <c r="B11" s="80">
        <v>3465.38</v>
      </c>
      <c r="C11" s="80">
        <v>1033.93</v>
      </c>
      <c r="D11" s="80">
        <v>0.0</v>
      </c>
      <c r="E11" s="80">
        <v>4499.31</v>
      </c>
      <c r="F11" s="88">
        <v>1.08</v>
      </c>
      <c r="G11" s="80" t="s">
        <v>106</v>
      </c>
      <c r="H11" s="69"/>
      <c r="I11" s="68"/>
      <c r="J11" s="68"/>
      <c r="K11" s="68"/>
      <c r="L11" s="68"/>
      <c r="M11" s="70"/>
      <c r="N11" s="70"/>
      <c r="O11" s="70"/>
      <c r="P11" s="89"/>
      <c r="Q11" s="90"/>
      <c r="R11" s="70"/>
      <c r="S11" s="70"/>
      <c r="T11" s="70"/>
    </row>
    <row r="12">
      <c r="A12" s="87">
        <v>45904.0</v>
      </c>
      <c r="B12" s="80">
        <v>3465.38</v>
      </c>
      <c r="C12" s="80">
        <v>1026.04</v>
      </c>
      <c r="D12" s="80">
        <v>0.0</v>
      </c>
      <c r="E12" s="80">
        <v>4491.42</v>
      </c>
      <c r="F12" s="88">
        <v>1.08</v>
      </c>
      <c r="G12" s="80" t="s">
        <v>106</v>
      </c>
      <c r="H12" s="69"/>
      <c r="I12" s="68"/>
      <c r="J12" s="68"/>
      <c r="K12" s="68"/>
      <c r="L12" s="68"/>
      <c r="M12" s="70"/>
      <c r="N12" s="70"/>
      <c r="O12" s="70"/>
      <c r="P12" s="89"/>
      <c r="Q12" s="90"/>
      <c r="R12" s="70"/>
      <c r="S12" s="70"/>
      <c r="T12" s="70"/>
    </row>
    <row r="13">
      <c r="A13" s="87">
        <v>45905.0</v>
      </c>
      <c r="B13" s="80">
        <v>3465.38</v>
      </c>
      <c r="C13" s="80">
        <v>1039.68</v>
      </c>
      <c r="D13" s="80">
        <v>0.0</v>
      </c>
      <c r="E13" s="80">
        <v>4505.06</v>
      </c>
      <c r="F13" s="88">
        <v>1.08</v>
      </c>
      <c r="G13" s="80" t="s">
        <v>106</v>
      </c>
      <c r="H13" s="69"/>
      <c r="I13" s="68"/>
      <c r="J13" s="68"/>
      <c r="K13" s="68"/>
      <c r="L13" s="68"/>
      <c r="M13" s="70"/>
      <c r="N13" s="70"/>
      <c r="O13" s="70"/>
      <c r="P13" s="89"/>
      <c r="Q13" s="90"/>
      <c r="R13" s="70"/>
      <c r="S13" s="70"/>
      <c r="T13" s="70"/>
    </row>
    <row r="14">
      <c r="A14" s="87">
        <v>45906.0</v>
      </c>
      <c r="B14" s="80">
        <v>3465.38</v>
      </c>
      <c r="C14" s="80">
        <v>1039.68</v>
      </c>
      <c r="D14" s="80">
        <v>0.0</v>
      </c>
      <c r="E14" s="80">
        <v>4505.06</v>
      </c>
      <c r="F14" s="88">
        <v>1.08</v>
      </c>
      <c r="G14" s="80" t="s">
        <v>106</v>
      </c>
      <c r="H14" s="69"/>
      <c r="I14" s="68"/>
      <c r="J14" s="68"/>
      <c r="K14" s="68"/>
      <c r="L14" s="68"/>
      <c r="M14" s="70"/>
      <c r="N14" s="70"/>
      <c r="O14" s="70"/>
      <c r="P14" s="89"/>
      <c r="Q14" s="90"/>
      <c r="R14" s="70"/>
      <c r="S14" s="70"/>
      <c r="T14" s="70"/>
    </row>
    <row r="15">
      <c r="A15" s="87">
        <v>45907.0</v>
      </c>
      <c r="B15" s="80">
        <v>3465.38</v>
      </c>
      <c r="C15" s="80">
        <v>1039.68</v>
      </c>
      <c r="D15" s="80">
        <v>0.0</v>
      </c>
      <c r="E15" s="80">
        <v>4505.06</v>
      </c>
      <c r="F15" s="88">
        <v>1.08</v>
      </c>
      <c r="G15" s="80" t="s">
        <v>106</v>
      </c>
      <c r="H15" s="69"/>
      <c r="I15" s="68"/>
      <c r="J15" s="68"/>
      <c r="K15" s="68"/>
      <c r="L15" s="68"/>
      <c r="M15" s="70"/>
      <c r="N15" s="70"/>
      <c r="O15" s="70"/>
      <c r="P15" s="89"/>
      <c r="Q15" s="90"/>
      <c r="R15" s="70"/>
      <c r="S15" s="70"/>
      <c r="T15" s="70"/>
    </row>
    <row r="16">
      <c r="A16" s="87">
        <v>45908.0</v>
      </c>
      <c r="B16" s="80">
        <v>3465.38</v>
      </c>
      <c r="C16" s="80">
        <v>1046.85</v>
      </c>
      <c r="D16" s="80">
        <v>0.0</v>
      </c>
      <c r="E16" s="80">
        <v>4512.23</v>
      </c>
      <c r="F16" s="88">
        <v>1.09</v>
      </c>
      <c r="G16" s="80" t="s">
        <v>106</v>
      </c>
      <c r="H16" s="69"/>
      <c r="I16" s="68"/>
      <c r="J16" s="68"/>
      <c r="K16" s="68"/>
      <c r="L16" s="68"/>
      <c r="M16" s="70"/>
      <c r="N16" s="70"/>
      <c r="O16" s="70"/>
      <c r="P16" s="89"/>
      <c r="Q16" s="90"/>
      <c r="R16" s="70"/>
      <c r="S16" s="70"/>
      <c r="T16" s="70"/>
    </row>
    <row r="17">
      <c r="A17" s="87">
        <v>45909.0</v>
      </c>
      <c r="B17" s="80">
        <v>3465.38</v>
      </c>
      <c r="C17" s="80">
        <v>1048.34</v>
      </c>
      <c r="D17" s="80">
        <v>0.0</v>
      </c>
      <c r="E17" s="80">
        <v>4513.72</v>
      </c>
      <c r="F17" s="88">
        <v>1.09</v>
      </c>
      <c r="G17" s="80" t="s">
        <v>106</v>
      </c>
      <c r="H17" s="69"/>
      <c r="I17" s="68"/>
      <c r="J17" s="68"/>
      <c r="K17" s="68"/>
      <c r="L17" s="68"/>
      <c r="M17" s="70"/>
      <c r="N17" s="70"/>
      <c r="O17" s="70"/>
      <c r="P17" s="89"/>
      <c r="Q17" s="90"/>
      <c r="R17" s="70"/>
      <c r="S17" s="70"/>
      <c r="T17" s="70"/>
    </row>
    <row r="18">
      <c r="A18" s="87">
        <v>45910.0</v>
      </c>
      <c r="B18" s="80">
        <v>3465.38</v>
      </c>
      <c r="C18" s="80">
        <v>1048.43</v>
      </c>
      <c r="D18" s="80">
        <v>0.0</v>
      </c>
      <c r="E18" s="80">
        <v>4513.81</v>
      </c>
      <c r="F18" s="88">
        <v>1.09</v>
      </c>
      <c r="G18" s="80" t="s">
        <v>106</v>
      </c>
      <c r="H18" s="69"/>
      <c r="I18" s="68"/>
      <c r="J18" s="68"/>
      <c r="K18" s="68"/>
      <c r="L18" s="68"/>
      <c r="M18" s="70"/>
      <c r="N18" s="70"/>
      <c r="O18" s="70"/>
      <c r="P18" s="89"/>
      <c r="Q18" s="90"/>
      <c r="R18" s="70"/>
      <c r="S18" s="70"/>
      <c r="T18" s="70"/>
    </row>
    <row r="19">
      <c r="A19" s="87">
        <v>45911.0</v>
      </c>
      <c r="B19" s="80">
        <v>3465.38</v>
      </c>
      <c r="C19" s="80">
        <v>1046.5</v>
      </c>
      <c r="D19" s="80">
        <v>0.0</v>
      </c>
      <c r="E19" s="80">
        <v>4511.88</v>
      </c>
      <c r="F19" s="88">
        <v>1.09</v>
      </c>
      <c r="G19" s="80" t="s">
        <v>106</v>
      </c>
      <c r="H19" s="69"/>
      <c r="I19" s="68"/>
      <c r="J19" s="68"/>
      <c r="K19" s="68"/>
      <c r="L19" s="68"/>
      <c r="M19" s="70"/>
      <c r="N19" s="70"/>
      <c r="O19" s="70"/>
      <c r="P19" s="89"/>
      <c r="Q19" s="90"/>
      <c r="R19" s="70"/>
      <c r="S19" s="70"/>
      <c r="T19" s="70"/>
    </row>
    <row r="20">
      <c r="A20" s="87">
        <v>45912.0</v>
      </c>
      <c r="B20" s="80">
        <v>3465.38</v>
      </c>
      <c r="C20" s="80">
        <v>1050.1</v>
      </c>
      <c r="D20" s="80">
        <v>0.0</v>
      </c>
      <c r="E20" s="80">
        <v>4515.48</v>
      </c>
      <c r="F20" s="88">
        <v>1.09</v>
      </c>
      <c r="G20" s="80" t="s">
        <v>106</v>
      </c>
      <c r="H20" s="69"/>
      <c r="I20" s="68"/>
      <c r="J20" s="68"/>
      <c r="K20" s="68"/>
      <c r="L20" s="68"/>
      <c r="M20" s="70"/>
      <c r="N20" s="70"/>
      <c r="O20" s="70"/>
      <c r="P20" s="89"/>
      <c r="Q20" s="90"/>
      <c r="R20" s="70"/>
      <c r="S20" s="70"/>
      <c r="T20" s="70"/>
    </row>
    <row r="21">
      <c r="A21" s="87">
        <v>45913.0</v>
      </c>
      <c r="B21" s="80">
        <v>3465.38</v>
      </c>
      <c r="C21" s="80">
        <v>1050.1</v>
      </c>
      <c r="D21" s="80">
        <v>0.0</v>
      </c>
      <c r="E21" s="80">
        <v>4515.48</v>
      </c>
      <c r="F21" s="88">
        <v>1.09</v>
      </c>
      <c r="G21" s="80" t="s">
        <v>106</v>
      </c>
      <c r="H21" s="69"/>
      <c r="I21" s="68"/>
      <c r="J21" s="68"/>
      <c r="K21" s="68"/>
      <c r="L21" s="68"/>
      <c r="M21" s="70"/>
      <c r="N21" s="70"/>
      <c r="O21" s="70"/>
      <c r="P21" s="89"/>
      <c r="Q21" s="90"/>
      <c r="R21" s="70"/>
      <c r="S21" s="70"/>
      <c r="T21" s="70"/>
    </row>
    <row r="22">
      <c r="A22" s="87">
        <v>45914.0</v>
      </c>
      <c r="B22" s="80">
        <v>3465.38</v>
      </c>
      <c r="C22" s="80">
        <v>1050.1</v>
      </c>
      <c r="D22" s="80">
        <v>0.0</v>
      </c>
      <c r="E22" s="80">
        <v>4515.48</v>
      </c>
      <c r="F22" s="88">
        <v>1.09</v>
      </c>
      <c r="G22" s="80" t="s">
        <v>106</v>
      </c>
      <c r="H22" s="69"/>
      <c r="I22" s="68"/>
      <c r="J22" s="68"/>
      <c r="K22" s="68"/>
      <c r="L22" s="68"/>
      <c r="M22" s="70"/>
      <c r="N22" s="70"/>
      <c r="O22" s="70"/>
      <c r="P22" s="89"/>
      <c r="Q22" s="90"/>
      <c r="R22" s="70"/>
      <c r="S22" s="70"/>
      <c r="T22" s="70"/>
    </row>
    <row r="23">
      <c r="A23" s="87">
        <v>45915.0</v>
      </c>
      <c r="B23" s="80">
        <v>3465.38</v>
      </c>
      <c r="C23" s="80">
        <v>1059.54</v>
      </c>
      <c r="D23" s="80">
        <v>0.0</v>
      </c>
      <c r="E23" s="80">
        <v>4524.92</v>
      </c>
      <c r="F23" s="88">
        <v>1.09</v>
      </c>
      <c r="G23" s="80" t="s">
        <v>106</v>
      </c>
      <c r="H23" s="69"/>
      <c r="I23" s="68"/>
      <c r="J23" s="68"/>
      <c r="K23" s="68"/>
      <c r="L23" s="68"/>
      <c r="M23" s="70"/>
      <c r="N23" s="70"/>
      <c r="O23" s="70"/>
      <c r="P23" s="89"/>
      <c r="Q23" s="90"/>
      <c r="R23" s="70"/>
      <c r="S23" s="70"/>
      <c r="T23" s="70"/>
    </row>
    <row r="24">
      <c r="A24" s="87">
        <v>45916.0</v>
      </c>
      <c r="B24" s="80">
        <v>3465.38</v>
      </c>
      <c r="C24" s="80">
        <v>1061.47</v>
      </c>
      <c r="D24" s="80">
        <v>0.0</v>
      </c>
      <c r="E24" s="80">
        <v>4526.85</v>
      </c>
      <c r="F24" s="88">
        <v>1.09</v>
      </c>
      <c r="G24" s="80" t="s">
        <v>106</v>
      </c>
      <c r="H24" s="69"/>
      <c r="I24" s="68"/>
      <c r="J24" s="68"/>
      <c r="K24" s="68"/>
      <c r="L24" s="68"/>
      <c r="M24" s="70"/>
      <c r="N24" s="70"/>
      <c r="O24" s="70"/>
      <c r="P24" s="89"/>
      <c r="Q24" s="90"/>
      <c r="R24" s="70"/>
      <c r="S24" s="70"/>
      <c r="T24" s="70"/>
    </row>
    <row r="25">
      <c r="A25" s="87">
        <v>45917.0</v>
      </c>
      <c r="B25" s="80">
        <v>3465.38</v>
      </c>
      <c r="C25" s="80">
        <v>1059.42</v>
      </c>
      <c r="D25" s="80">
        <v>0.0</v>
      </c>
      <c r="E25" s="80">
        <v>4524.8</v>
      </c>
      <c r="F25" s="88">
        <v>1.09</v>
      </c>
      <c r="G25" s="80" t="s">
        <v>106</v>
      </c>
      <c r="H25" s="69"/>
      <c r="I25" s="68"/>
      <c r="J25" s="68"/>
      <c r="K25" s="68"/>
      <c r="L25" s="68"/>
      <c r="M25" s="70"/>
      <c r="N25" s="70"/>
      <c r="O25" s="70"/>
      <c r="P25" s="89"/>
      <c r="Q25" s="90"/>
      <c r="R25" s="70"/>
      <c r="S25" s="70"/>
      <c r="T25" s="70"/>
    </row>
    <row r="26">
      <c r="A26" s="87">
        <v>45918.0</v>
      </c>
      <c r="B26" s="80">
        <v>3465.38</v>
      </c>
      <c r="C26" s="80">
        <v>1048.46</v>
      </c>
      <c r="D26" s="80">
        <v>0.0</v>
      </c>
      <c r="E26" s="80">
        <v>4513.84</v>
      </c>
      <c r="F26" s="88">
        <v>1.09</v>
      </c>
      <c r="G26" s="80" t="s">
        <v>106</v>
      </c>
      <c r="H26" s="69"/>
      <c r="I26" s="68"/>
      <c r="J26" s="68"/>
      <c r="K26" s="68"/>
      <c r="L26" s="68"/>
      <c r="M26" s="70"/>
      <c r="N26" s="70"/>
      <c r="O26" s="70"/>
      <c r="P26" s="89"/>
      <c r="Q26" s="90"/>
      <c r="R26" s="70"/>
      <c r="S26" s="70"/>
      <c r="T26" s="70"/>
    </row>
    <row r="27">
      <c r="A27" s="87">
        <v>45919.0</v>
      </c>
      <c r="B27" s="80">
        <v>3465.38</v>
      </c>
      <c r="C27" s="80">
        <v>1056.46</v>
      </c>
      <c r="D27" s="80">
        <v>0.0</v>
      </c>
      <c r="E27" s="80">
        <v>4521.84</v>
      </c>
      <c r="F27" s="88">
        <v>1.09</v>
      </c>
      <c r="G27" s="80" t="s">
        <v>106</v>
      </c>
      <c r="H27" s="69"/>
      <c r="I27" s="68"/>
      <c r="J27" s="68"/>
      <c r="K27" s="68"/>
      <c r="L27" s="68"/>
      <c r="M27" s="70"/>
      <c r="N27" s="70"/>
      <c r="O27" s="70"/>
      <c r="P27" s="89"/>
      <c r="Q27" s="90"/>
      <c r="R27" s="70"/>
      <c r="S27" s="70"/>
      <c r="T27" s="70"/>
    </row>
    <row r="28">
      <c r="A28" s="87">
        <v>45920.0</v>
      </c>
      <c r="B28" s="80">
        <v>3465.38</v>
      </c>
      <c r="C28" s="80">
        <v>1056.46</v>
      </c>
      <c r="D28" s="80">
        <v>0.0</v>
      </c>
      <c r="E28" s="80">
        <v>4521.84</v>
      </c>
      <c r="F28" s="88">
        <v>1.09</v>
      </c>
      <c r="G28" s="80" t="s">
        <v>106</v>
      </c>
      <c r="H28" s="69"/>
      <c r="I28" s="68"/>
      <c r="J28" s="68"/>
      <c r="K28" s="68"/>
      <c r="L28" s="68"/>
      <c r="M28" s="70"/>
      <c r="N28" s="70"/>
      <c r="O28" s="70"/>
      <c r="P28" s="89"/>
      <c r="Q28" s="90"/>
      <c r="R28" s="70"/>
      <c r="S28" s="70"/>
      <c r="T28" s="70"/>
    </row>
    <row r="29">
      <c r="A29" s="87">
        <v>45921.0</v>
      </c>
      <c r="B29" s="80">
        <v>3465.38</v>
      </c>
      <c r="C29" s="80">
        <v>1056.46</v>
      </c>
      <c r="D29" s="80">
        <v>0.0</v>
      </c>
      <c r="E29" s="80">
        <v>4521.84</v>
      </c>
      <c r="F29" s="88">
        <v>1.09</v>
      </c>
      <c r="G29" s="80" t="s">
        <v>106</v>
      </c>
      <c r="H29" s="69"/>
      <c r="I29" s="68"/>
      <c r="J29" s="68"/>
      <c r="K29" s="68"/>
      <c r="L29" s="68"/>
      <c r="M29" s="70"/>
      <c r="N29" s="70"/>
      <c r="O29" s="70"/>
      <c r="P29" s="89"/>
      <c r="Q29" s="90"/>
      <c r="R29" s="70"/>
      <c r="S29" s="70"/>
      <c r="T29" s="70"/>
    </row>
    <row r="30">
      <c r="A30" s="87">
        <v>45922.0</v>
      </c>
      <c r="B30" s="80">
        <v>3465.38</v>
      </c>
      <c r="C30" s="80">
        <v>1076.37</v>
      </c>
      <c r="D30" s="80">
        <v>0.0</v>
      </c>
      <c r="E30" s="80">
        <v>4541.75</v>
      </c>
      <c r="F30" s="88">
        <v>1.09</v>
      </c>
      <c r="G30" s="80" t="s">
        <v>106</v>
      </c>
      <c r="H30" s="69"/>
      <c r="I30" s="68"/>
      <c r="J30" s="68"/>
      <c r="K30" s="68"/>
      <c r="L30" s="68"/>
      <c r="M30" s="70"/>
      <c r="N30" s="70"/>
      <c r="O30" s="70"/>
      <c r="P30" s="89"/>
      <c r="Q30" s="90"/>
      <c r="R30" s="70"/>
      <c r="S30" s="70"/>
      <c r="T30" s="70"/>
    </row>
    <row r="31">
      <c r="A31" s="87">
        <v>45923.0</v>
      </c>
      <c r="B31" s="80">
        <v>3465.38</v>
      </c>
      <c r="C31" s="80">
        <v>1087.85</v>
      </c>
      <c r="D31" s="80">
        <v>0.0</v>
      </c>
      <c r="E31" s="80">
        <v>4553.23</v>
      </c>
      <c r="F31" s="88">
        <v>1.1</v>
      </c>
      <c r="G31" s="80" t="s">
        <v>106</v>
      </c>
      <c r="H31" s="69"/>
      <c r="I31" s="68"/>
      <c r="J31" s="68"/>
      <c r="K31" s="68"/>
      <c r="L31" s="68"/>
      <c r="M31" s="70"/>
      <c r="N31" s="70"/>
      <c r="O31" s="70"/>
      <c r="P31" s="89"/>
      <c r="Q31" s="90"/>
      <c r="R31" s="70"/>
      <c r="S31" s="70"/>
      <c r="T31" s="70"/>
    </row>
    <row r="32">
      <c r="A32" s="87">
        <v>45924.0</v>
      </c>
      <c r="B32" s="80">
        <v>3465.38</v>
      </c>
      <c r="C32" s="80">
        <v>1073.9</v>
      </c>
      <c r="D32" s="80">
        <v>0.0</v>
      </c>
      <c r="E32" s="80">
        <v>4539.28</v>
      </c>
      <c r="F32" s="88">
        <v>1.09</v>
      </c>
      <c r="G32" s="80" t="s">
        <v>106</v>
      </c>
      <c r="H32" s="69"/>
      <c r="I32" s="68"/>
      <c r="J32" s="68"/>
      <c r="K32" s="68"/>
      <c r="L32" s="68"/>
      <c r="M32" s="70"/>
      <c r="N32" s="70"/>
      <c r="O32" s="70"/>
      <c r="P32" s="70"/>
      <c r="Q32" s="70"/>
      <c r="R32" s="70"/>
      <c r="S32" s="70"/>
      <c r="T32" s="70"/>
    </row>
    <row r="33">
      <c r="A33" s="87">
        <v>45925.0</v>
      </c>
      <c r="B33" s="80">
        <v>3465.38</v>
      </c>
      <c r="C33" s="80">
        <v>1075.28</v>
      </c>
      <c r="D33" s="80">
        <v>0.0</v>
      </c>
      <c r="E33" s="80">
        <v>4540.66</v>
      </c>
      <c r="F33" s="88">
        <v>1.09</v>
      </c>
      <c r="G33" s="80" t="s">
        <v>106</v>
      </c>
      <c r="H33" s="69"/>
      <c r="I33" s="68"/>
      <c r="J33" s="68"/>
      <c r="K33" s="68"/>
      <c r="L33" s="68"/>
      <c r="M33" s="70"/>
      <c r="N33" s="70"/>
      <c r="O33" s="70"/>
      <c r="P33" s="70"/>
      <c r="Q33" s="70"/>
      <c r="R33" s="70"/>
      <c r="S33" s="70"/>
      <c r="T33" s="70"/>
    </row>
    <row r="34">
      <c r="A34" s="87">
        <v>45926.0</v>
      </c>
      <c r="B34" s="80">
        <v>3465.38</v>
      </c>
      <c r="C34" s="80">
        <v>1086.33</v>
      </c>
      <c r="D34" s="80">
        <v>0.0</v>
      </c>
      <c r="E34" s="80">
        <v>4551.71</v>
      </c>
      <c r="F34" s="88">
        <v>1.09</v>
      </c>
      <c r="G34" s="80" t="s">
        <v>106</v>
      </c>
      <c r="H34" s="69"/>
      <c r="I34" s="68"/>
      <c r="J34" s="68"/>
      <c r="K34" s="68"/>
      <c r="L34" s="68"/>
      <c r="M34" s="70"/>
      <c r="N34" s="70"/>
      <c r="O34" s="70"/>
      <c r="P34" s="70"/>
      <c r="Q34" s="70"/>
      <c r="R34" s="70"/>
      <c r="S34" s="70"/>
      <c r="T34" s="70"/>
    </row>
    <row r="35">
      <c r="A35" s="87">
        <v>45927.0</v>
      </c>
      <c r="B35" s="80">
        <v>3465.38</v>
      </c>
      <c r="C35" s="80">
        <v>1086.33</v>
      </c>
      <c r="D35" s="80">
        <v>0.0</v>
      </c>
      <c r="E35" s="80">
        <v>4551.71</v>
      </c>
      <c r="F35" s="88">
        <v>1.09</v>
      </c>
      <c r="G35" s="80" t="s">
        <v>106</v>
      </c>
      <c r="H35" s="69"/>
      <c r="I35" s="68"/>
      <c r="J35" s="68"/>
      <c r="K35" s="68"/>
      <c r="L35" s="68"/>
      <c r="M35" s="70"/>
      <c r="N35" s="70"/>
      <c r="O35" s="70"/>
      <c r="P35" s="70"/>
      <c r="Q35" s="70"/>
      <c r="R35" s="70"/>
      <c r="S35" s="70"/>
      <c r="T35" s="70"/>
    </row>
    <row r="36">
      <c r="A36" s="87">
        <v>45928.0</v>
      </c>
      <c r="B36" s="80">
        <v>3465.38</v>
      </c>
      <c r="C36" s="80">
        <v>1086.33</v>
      </c>
      <c r="D36" s="80">
        <v>0.0</v>
      </c>
      <c r="E36" s="80">
        <v>4551.71</v>
      </c>
      <c r="F36" s="88">
        <v>1.09</v>
      </c>
      <c r="G36" s="80" t="s">
        <v>106</v>
      </c>
      <c r="H36" s="69"/>
      <c r="I36" s="68"/>
      <c r="J36" s="68"/>
      <c r="K36" s="68"/>
      <c r="L36" s="68"/>
      <c r="M36" s="70"/>
      <c r="N36" s="70"/>
      <c r="O36" s="70"/>
      <c r="P36" s="70"/>
      <c r="Q36" s="70"/>
      <c r="R36" s="70"/>
      <c r="S36" s="70"/>
      <c r="T36" s="70"/>
    </row>
    <row r="37">
      <c r="A37" s="87">
        <v>45929.0</v>
      </c>
      <c r="B37" s="80">
        <v>3465.38</v>
      </c>
      <c r="C37" s="80">
        <v>1099.45</v>
      </c>
      <c r="D37" s="80">
        <v>0.0</v>
      </c>
      <c r="E37" s="80">
        <v>4564.83</v>
      </c>
      <c r="F37" s="88">
        <v>1.1</v>
      </c>
      <c r="G37" s="80" t="s">
        <v>106</v>
      </c>
      <c r="H37" s="69"/>
      <c r="I37" s="68"/>
      <c r="J37" s="68"/>
      <c r="K37" s="68"/>
      <c r="L37" s="68"/>
      <c r="M37" s="70"/>
      <c r="N37" s="70"/>
      <c r="O37" s="70"/>
      <c r="P37" s="70"/>
      <c r="Q37" s="70"/>
      <c r="R37" s="70"/>
      <c r="S37" s="70"/>
      <c r="T37" s="70"/>
    </row>
    <row r="38">
      <c r="A38" s="87">
        <v>45930.0</v>
      </c>
      <c r="B38" s="80">
        <v>3465.38</v>
      </c>
      <c r="C38" s="80">
        <v>1105.17</v>
      </c>
      <c r="D38" s="80">
        <v>0.0</v>
      </c>
      <c r="E38" s="80">
        <v>4570.55</v>
      </c>
      <c r="F38" s="88">
        <v>1.1</v>
      </c>
      <c r="G38" s="80" t="s">
        <v>105</v>
      </c>
      <c r="H38" s="69"/>
      <c r="I38" s="68"/>
      <c r="J38" s="68"/>
      <c r="K38" s="68"/>
      <c r="L38" s="68"/>
      <c r="M38" s="70"/>
      <c r="N38" s="70"/>
      <c r="O38" s="70"/>
      <c r="P38" s="70"/>
      <c r="Q38" s="70"/>
      <c r="R38" s="70"/>
      <c r="S38" s="70"/>
      <c r="T38" s="70"/>
    </row>
    <row r="39">
      <c r="A39" s="87">
        <v>45931.0</v>
      </c>
      <c r="B39" s="80">
        <v>3465.38</v>
      </c>
      <c r="C39" s="80">
        <v>1112.86</v>
      </c>
      <c r="D39" s="80">
        <v>0.0</v>
      </c>
      <c r="E39" s="80">
        <v>4578.24</v>
      </c>
      <c r="F39" s="88">
        <v>1.1</v>
      </c>
      <c r="G39" s="80" t="s">
        <v>106</v>
      </c>
      <c r="H39" s="69"/>
      <c r="I39" s="68"/>
      <c r="J39" s="68"/>
      <c r="K39" s="68"/>
      <c r="L39" s="68"/>
      <c r="M39" s="70"/>
      <c r="N39" s="70"/>
      <c r="O39" s="70"/>
      <c r="P39" s="70"/>
      <c r="Q39" s="70"/>
      <c r="R39" s="70"/>
      <c r="S39" s="70"/>
      <c r="T39" s="70"/>
    </row>
    <row r="40">
      <c r="A40" s="87">
        <v>45932.0</v>
      </c>
      <c r="B40" s="80">
        <v>3465.38</v>
      </c>
      <c r="C40" s="80">
        <v>1104.86</v>
      </c>
      <c r="D40" s="80">
        <v>0.0</v>
      </c>
      <c r="E40" s="80">
        <v>4570.24</v>
      </c>
      <c r="F40" s="88">
        <v>1.1</v>
      </c>
      <c r="G40" s="80" t="s">
        <v>106</v>
      </c>
      <c r="H40" s="69"/>
      <c r="I40" s="68"/>
      <c r="J40" s="68"/>
      <c r="K40" s="68"/>
      <c r="L40" s="68"/>
      <c r="M40" s="70"/>
      <c r="N40" s="70"/>
      <c r="O40" s="70"/>
      <c r="P40" s="70"/>
      <c r="Q40" s="70"/>
      <c r="R40" s="70"/>
      <c r="S40" s="70"/>
      <c r="T40" s="70"/>
    </row>
    <row r="41">
      <c r="A41" s="87">
        <v>45933.0</v>
      </c>
      <c r="B41" s="80">
        <v>3465.38</v>
      </c>
      <c r="C41" s="80">
        <v>1116.68</v>
      </c>
      <c r="D41" s="80">
        <v>0.0</v>
      </c>
      <c r="E41" s="80">
        <v>4582.06</v>
      </c>
      <c r="F41" s="88">
        <v>1.1</v>
      </c>
      <c r="G41" s="80" t="s">
        <v>106</v>
      </c>
      <c r="H41" s="69"/>
      <c r="I41" s="68"/>
      <c r="J41" s="68"/>
      <c r="K41" s="68"/>
      <c r="L41" s="68"/>
      <c r="M41" s="70"/>
      <c r="N41" s="70"/>
      <c r="O41" s="70"/>
      <c r="P41" s="70"/>
      <c r="Q41" s="70"/>
      <c r="R41" s="70"/>
      <c r="S41" s="70"/>
      <c r="T41" s="70"/>
    </row>
    <row r="42">
      <c r="A42" s="87">
        <v>45934.0</v>
      </c>
      <c r="B42" s="80">
        <v>3465.38</v>
      </c>
      <c r="C42" s="80">
        <v>1116.68</v>
      </c>
      <c r="D42" s="80">
        <v>0.0</v>
      </c>
      <c r="E42" s="80">
        <v>4582.06</v>
      </c>
      <c r="F42" s="88">
        <v>1.1</v>
      </c>
      <c r="G42" s="80" t="s">
        <v>106</v>
      </c>
      <c r="H42" s="69"/>
      <c r="I42" s="68"/>
      <c r="J42" s="68"/>
      <c r="K42" s="68"/>
      <c r="L42" s="68"/>
      <c r="M42" s="70"/>
      <c r="N42" s="70"/>
      <c r="O42" s="70"/>
      <c r="P42" s="70"/>
      <c r="Q42" s="70"/>
      <c r="R42" s="70"/>
      <c r="S42" s="70"/>
      <c r="T42" s="70"/>
    </row>
    <row r="43">
      <c r="A43" s="87">
        <v>45935.0</v>
      </c>
      <c r="B43" s="80">
        <v>3465.38</v>
      </c>
      <c r="C43" s="80">
        <v>1116.68</v>
      </c>
      <c r="D43" s="80">
        <v>0.0</v>
      </c>
      <c r="E43" s="80">
        <v>4582.06</v>
      </c>
      <c r="F43" s="88">
        <v>1.1</v>
      </c>
      <c r="G43" s="80" t="s">
        <v>106</v>
      </c>
      <c r="H43" s="69"/>
      <c r="I43" s="68"/>
      <c r="J43" s="68"/>
      <c r="K43" s="68"/>
      <c r="L43" s="68"/>
      <c r="M43" s="70"/>
      <c r="N43" s="70"/>
      <c r="O43" s="70"/>
      <c r="P43" s="70"/>
      <c r="Q43" s="70"/>
      <c r="R43" s="70"/>
      <c r="S43" s="70"/>
      <c r="T43" s="70"/>
    </row>
    <row r="44">
      <c r="A44" s="87">
        <v>45936.0</v>
      </c>
      <c r="B44" s="80">
        <v>3465.38</v>
      </c>
      <c r="C44" s="80">
        <v>1136.16</v>
      </c>
      <c r="D44" s="80">
        <v>0.0</v>
      </c>
      <c r="E44" s="80">
        <v>4601.54</v>
      </c>
      <c r="F44" s="88">
        <v>1.11</v>
      </c>
      <c r="G44" s="80" t="s">
        <v>106</v>
      </c>
      <c r="H44" s="69"/>
      <c r="I44" s="68"/>
      <c r="J44" s="68"/>
      <c r="K44" s="68"/>
      <c r="L44" s="68"/>
      <c r="M44" s="70"/>
      <c r="N44" s="70"/>
      <c r="O44" s="70"/>
      <c r="P44" s="70"/>
      <c r="Q44" s="70"/>
      <c r="R44" s="70"/>
      <c r="S44" s="70"/>
      <c r="T44" s="70"/>
    </row>
    <row r="45">
      <c r="A45" s="87">
        <v>45937.0</v>
      </c>
      <c r="B45" s="80">
        <v>3465.38</v>
      </c>
      <c r="C45" s="80">
        <v>1144.25</v>
      </c>
      <c r="D45" s="80">
        <v>0.0</v>
      </c>
      <c r="E45" s="80">
        <v>4609.63</v>
      </c>
      <c r="F45" s="88">
        <v>1.11</v>
      </c>
      <c r="G45" s="80" t="s">
        <v>106</v>
      </c>
      <c r="H45" s="69"/>
      <c r="I45" s="68"/>
      <c r="J45" s="68"/>
      <c r="K45" s="68"/>
      <c r="L45" s="68"/>
      <c r="M45" s="70"/>
      <c r="N45" s="70"/>
      <c r="O45" s="70"/>
      <c r="P45" s="70"/>
      <c r="Q45" s="70"/>
      <c r="R45" s="70"/>
      <c r="S45" s="70"/>
      <c r="T45" s="70"/>
    </row>
    <row r="46">
      <c r="A46" s="87">
        <v>45938.0</v>
      </c>
      <c r="B46" s="80">
        <v>3465.38</v>
      </c>
      <c r="C46" s="80">
        <v>1163.44</v>
      </c>
      <c r="D46" s="80">
        <v>0.0</v>
      </c>
      <c r="E46" s="80">
        <v>4628.82</v>
      </c>
      <c r="F46" s="88">
        <v>1.11</v>
      </c>
      <c r="G46" s="80" t="s">
        <v>106</v>
      </c>
      <c r="H46" s="69"/>
      <c r="I46" s="68"/>
      <c r="J46" s="68"/>
      <c r="K46" s="68"/>
      <c r="L46" s="68"/>
      <c r="M46" s="70"/>
      <c r="N46" s="70"/>
      <c r="O46" s="70"/>
      <c r="P46" s="70"/>
      <c r="Q46" s="70"/>
      <c r="R46" s="70"/>
      <c r="S46" s="70"/>
      <c r="T46" s="70"/>
    </row>
    <row r="47">
      <c r="A47" s="87">
        <v>45939.0</v>
      </c>
      <c r="B47" s="80">
        <v>3465.38</v>
      </c>
      <c r="C47" s="80">
        <v>1135.53</v>
      </c>
      <c r="D47" s="80">
        <v>0.0</v>
      </c>
      <c r="E47" s="80">
        <v>4600.91</v>
      </c>
      <c r="F47" s="88">
        <v>1.11</v>
      </c>
      <c r="G47" s="80" t="s">
        <v>105</v>
      </c>
      <c r="H47" s="69"/>
      <c r="I47" s="68"/>
      <c r="J47" s="68"/>
      <c r="K47" s="68"/>
      <c r="L47" s="68"/>
      <c r="M47" s="70"/>
      <c r="N47" s="70"/>
      <c r="O47" s="70"/>
      <c r="P47" s="70"/>
      <c r="Q47" s="70"/>
      <c r="R47" s="70"/>
      <c r="S47" s="70"/>
      <c r="T47" s="70"/>
    </row>
    <row r="48">
      <c r="A48" s="87">
        <v>45940.0</v>
      </c>
      <c r="B48" s="80">
        <v>3465.38</v>
      </c>
      <c r="C48" s="80">
        <v>1144.05</v>
      </c>
      <c r="D48" s="80">
        <v>0.0</v>
      </c>
      <c r="E48" s="80">
        <v>4609.43</v>
      </c>
      <c r="F48" s="88">
        <v>1.11</v>
      </c>
      <c r="G48" s="80" t="s">
        <v>106</v>
      </c>
      <c r="H48" s="69"/>
      <c r="I48" s="68"/>
      <c r="J48" s="68"/>
      <c r="K48" s="68"/>
      <c r="L48" s="68"/>
      <c r="M48" s="70"/>
      <c r="N48" s="70"/>
      <c r="O48" s="70"/>
      <c r="P48" s="70"/>
      <c r="Q48" s="70"/>
      <c r="R48" s="70"/>
      <c r="S48" s="70"/>
      <c r="T48" s="70"/>
    </row>
    <row r="49">
      <c r="A49" s="87">
        <v>45941.0</v>
      </c>
      <c r="B49" s="80">
        <v>3465.38</v>
      </c>
      <c r="C49" s="80">
        <v>1144.05</v>
      </c>
      <c r="D49" s="80">
        <v>0.0</v>
      </c>
      <c r="E49" s="80">
        <v>4609.43</v>
      </c>
      <c r="F49" s="88">
        <v>1.11</v>
      </c>
      <c r="G49" s="80" t="s">
        <v>106</v>
      </c>
      <c r="H49" s="69"/>
      <c r="I49" s="68"/>
      <c r="J49" s="68"/>
      <c r="K49" s="68"/>
      <c r="L49" s="68"/>
      <c r="M49" s="70"/>
      <c r="N49" s="70"/>
      <c r="O49" s="70"/>
      <c r="P49" s="70"/>
      <c r="Q49" s="70"/>
      <c r="R49" s="70"/>
      <c r="S49" s="70"/>
      <c r="T49" s="70"/>
    </row>
    <row r="50">
      <c r="A50" s="87">
        <v>45942.0</v>
      </c>
      <c r="B50" s="80">
        <v>3465.38</v>
      </c>
      <c r="C50" s="80">
        <v>1144.05</v>
      </c>
      <c r="D50" s="80">
        <v>0.0</v>
      </c>
      <c r="E50" s="80">
        <v>4609.43</v>
      </c>
      <c r="F50" s="88">
        <v>1.11</v>
      </c>
      <c r="G50" s="80" t="s">
        <v>106</v>
      </c>
      <c r="H50" s="69"/>
      <c r="I50" s="68"/>
      <c r="J50" s="68"/>
      <c r="K50" s="68"/>
      <c r="L50" s="68"/>
      <c r="M50" s="70"/>
      <c r="N50" s="70"/>
      <c r="O50" s="70"/>
      <c r="P50" s="70"/>
      <c r="Q50" s="70"/>
      <c r="R50" s="70"/>
      <c r="S50" s="70"/>
      <c r="T50" s="70"/>
    </row>
    <row r="51">
      <c r="A51" s="87">
        <v>45943.0</v>
      </c>
      <c r="B51" s="80">
        <v>3465.38</v>
      </c>
      <c r="C51" s="80">
        <v>1182.23</v>
      </c>
      <c r="D51" s="80">
        <v>0.0</v>
      </c>
      <c r="E51" s="80">
        <v>4647.61</v>
      </c>
      <c r="F51" s="88">
        <v>1.12</v>
      </c>
      <c r="G51" s="80" t="s">
        <v>106</v>
      </c>
      <c r="H51" s="69"/>
      <c r="I51" s="68"/>
      <c r="J51" s="68"/>
      <c r="K51" s="68"/>
      <c r="L51" s="68"/>
      <c r="M51" s="70"/>
      <c r="N51" s="70"/>
      <c r="O51" s="70"/>
      <c r="P51" s="70"/>
      <c r="Q51" s="70"/>
      <c r="R51" s="70"/>
      <c r="S51" s="70"/>
      <c r="T51" s="70"/>
    </row>
    <row r="52">
      <c r="A52" s="87">
        <v>45944.0</v>
      </c>
      <c r="B52" s="80">
        <v>3465.38</v>
      </c>
      <c r="C52" s="80">
        <v>1190.89</v>
      </c>
      <c r="D52" s="80">
        <v>0.0</v>
      </c>
      <c r="E52" s="80">
        <v>4656.27</v>
      </c>
      <c r="F52" s="88">
        <v>1.12</v>
      </c>
      <c r="G52" s="80" t="s">
        <v>106</v>
      </c>
      <c r="H52" s="69"/>
      <c r="I52" s="68"/>
      <c r="J52" s="68"/>
      <c r="K52" s="68"/>
      <c r="L52" s="68"/>
      <c r="M52" s="70"/>
      <c r="N52" s="70"/>
      <c r="O52" s="70"/>
      <c r="P52" s="70"/>
      <c r="Q52" s="70"/>
      <c r="R52" s="70"/>
      <c r="S52" s="70"/>
      <c r="T52" s="70"/>
    </row>
    <row r="53">
      <c r="A53" s="87">
        <v>45945.0</v>
      </c>
      <c r="B53" s="80">
        <v>3465.38</v>
      </c>
      <c r="C53" s="80">
        <v>1201.89</v>
      </c>
      <c r="D53" s="80">
        <v>0.0</v>
      </c>
      <c r="E53" s="80">
        <v>4667.27</v>
      </c>
      <c r="F53" s="88">
        <v>1.12</v>
      </c>
      <c r="G53" s="80" t="s">
        <v>106</v>
      </c>
      <c r="H53" s="69"/>
      <c r="I53" s="68"/>
      <c r="J53" s="68"/>
      <c r="K53" s="68"/>
      <c r="L53" s="68"/>
      <c r="M53" s="70"/>
      <c r="N53" s="70"/>
      <c r="O53" s="70"/>
      <c r="P53" s="70"/>
      <c r="Q53" s="70"/>
      <c r="R53" s="70"/>
      <c r="S53" s="70"/>
      <c r="T53" s="70"/>
    </row>
    <row r="54">
      <c r="A54" s="87">
        <v>45946.0</v>
      </c>
      <c r="B54" s="80">
        <v>3465.38</v>
      </c>
      <c r="C54" s="80">
        <v>1231.61</v>
      </c>
      <c r="D54" s="80">
        <v>0.0</v>
      </c>
      <c r="E54" s="80">
        <v>4696.99</v>
      </c>
      <c r="F54" s="88">
        <v>1.13</v>
      </c>
      <c r="G54" s="80" t="s">
        <v>105</v>
      </c>
      <c r="H54" s="69"/>
      <c r="I54" s="68"/>
      <c r="J54" s="68"/>
      <c r="K54" s="68"/>
      <c r="L54" s="68"/>
      <c r="M54" s="70"/>
      <c r="N54" s="70"/>
      <c r="O54" s="70"/>
      <c r="P54" s="70"/>
      <c r="Q54" s="70"/>
      <c r="R54" s="70"/>
      <c r="S54" s="70"/>
      <c r="T54" s="70"/>
    </row>
    <row r="55">
      <c r="A55" s="87">
        <v>45947.0</v>
      </c>
      <c r="B55" s="80">
        <v>3465.38</v>
      </c>
      <c r="C55" s="80">
        <v>1205.63</v>
      </c>
      <c r="D55" s="80">
        <v>0.0</v>
      </c>
      <c r="E55" s="80">
        <v>4671.01</v>
      </c>
      <c r="F55" s="88">
        <v>1.12</v>
      </c>
      <c r="G55" s="80" t="s">
        <v>106</v>
      </c>
      <c r="H55" s="69"/>
      <c r="I55" s="68"/>
      <c r="J55" s="68"/>
      <c r="K55" s="68"/>
      <c r="L55" s="68"/>
      <c r="M55" s="70"/>
      <c r="N55" s="70"/>
      <c r="O55" s="70"/>
      <c r="P55" s="70"/>
      <c r="Q55" s="70"/>
      <c r="R55" s="70"/>
      <c r="S55" s="70"/>
      <c r="T55" s="70"/>
    </row>
    <row r="56">
      <c r="A56" s="87">
        <v>45948.0</v>
      </c>
      <c r="B56" s="80">
        <v>3465.38</v>
      </c>
      <c r="C56" s="80">
        <v>1205.63</v>
      </c>
      <c r="D56" s="80">
        <v>0.0</v>
      </c>
      <c r="E56" s="80">
        <v>4671.01</v>
      </c>
      <c r="F56" s="88">
        <v>1.12</v>
      </c>
      <c r="G56" s="80" t="s">
        <v>106</v>
      </c>
      <c r="H56" s="69"/>
      <c r="I56" s="68"/>
      <c r="J56" s="68"/>
      <c r="K56" s="68"/>
      <c r="L56" s="68"/>
      <c r="M56" s="70"/>
      <c r="N56" s="70"/>
      <c r="O56" s="70"/>
      <c r="P56" s="70"/>
      <c r="Q56" s="70"/>
      <c r="R56" s="70"/>
      <c r="S56" s="70"/>
      <c r="T56" s="70"/>
    </row>
    <row r="57">
      <c r="A57" s="87">
        <v>45949.0</v>
      </c>
      <c r="B57" s="80">
        <v>3465.38</v>
      </c>
      <c r="C57" s="80">
        <v>1205.63</v>
      </c>
      <c r="D57" s="80">
        <v>0.0</v>
      </c>
      <c r="E57" s="80">
        <v>4671.01</v>
      </c>
      <c r="F57" s="88">
        <v>1.12</v>
      </c>
      <c r="G57" s="80" t="s">
        <v>106</v>
      </c>
      <c r="H57" s="69"/>
      <c r="I57" s="68"/>
      <c r="J57" s="68"/>
      <c r="K57" s="68"/>
      <c r="L57" s="68"/>
      <c r="M57" s="70"/>
      <c r="N57" s="70"/>
      <c r="O57" s="70"/>
      <c r="P57" s="70"/>
      <c r="Q57" s="70"/>
      <c r="R57" s="70"/>
      <c r="S57" s="70"/>
      <c r="T57" s="70"/>
    </row>
    <row r="58">
      <c r="A58" s="87">
        <v>45950.0</v>
      </c>
      <c r="B58" s="80">
        <v>3465.38</v>
      </c>
      <c r="C58" s="80">
        <v>1247.78</v>
      </c>
      <c r="D58" s="80">
        <v>0.0</v>
      </c>
      <c r="E58" s="80">
        <v>4713.16</v>
      </c>
      <c r="F58" s="88">
        <v>1.13</v>
      </c>
      <c r="G58" s="80" t="s">
        <v>106</v>
      </c>
      <c r="H58" s="69"/>
      <c r="I58" s="68"/>
      <c r="J58" s="68"/>
      <c r="K58" s="68"/>
      <c r="L58" s="68"/>
      <c r="M58" s="70"/>
      <c r="N58" s="70"/>
      <c r="O58" s="70"/>
      <c r="P58" s="70"/>
      <c r="Q58" s="70"/>
      <c r="R58" s="70"/>
      <c r="S58" s="70"/>
      <c r="T58" s="70"/>
    </row>
    <row r="59">
      <c r="A59" s="87">
        <v>45951.0</v>
      </c>
      <c r="B59" s="80">
        <v>3465.38</v>
      </c>
      <c r="C59" s="80">
        <v>1176.22</v>
      </c>
      <c r="D59" s="80">
        <v>0.0</v>
      </c>
      <c r="E59" s="80">
        <v>4641.6</v>
      </c>
      <c r="F59" s="88">
        <v>1.12</v>
      </c>
      <c r="G59" s="80" t="s">
        <v>106</v>
      </c>
      <c r="H59" s="69"/>
      <c r="I59" s="68"/>
      <c r="J59" s="68"/>
      <c r="K59" s="68"/>
      <c r="L59" s="68"/>
      <c r="M59" s="70"/>
      <c r="N59" s="70"/>
      <c r="O59" s="70"/>
      <c r="P59" s="70"/>
      <c r="Q59" s="70"/>
      <c r="R59" s="70"/>
      <c r="S59" s="70"/>
      <c r="T59" s="70"/>
    </row>
    <row r="60">
      <c r="A60" s="87">
        <v>45952.0</v>
      </c>
      <c r="B60" s="80">
        <v>3465.38</v>
      </c>
      <c r="C60" s="80">
        <v>1163.76</v>
      </c>
      <c r="D60" s="80">
        <v>0.0</v>
      </c>
      <c r="E60" s="80">
        <v>4629.14</v>
      </c>
      <c r="F60" s="88">
        <v>1.11</v>
      </c>
      <c r="G60" s="80" t="s">
        <v>105</v>
      </c>
      <c r="H60" s="69"/>
      <c r="I60" s="68"/>
      <c r="J60" s="68"/>
      <c r="K60" s="68"/>
      <c r="L60" s="68"/>
      <c r="M60" s="70"/>
      <c r="N60" s="70"/>
      <c r="O60" s="70"/>
      <c r="P60" s="70"/>
      <c r="Q60" s="70"/>
      <c r="R60" s="70"/>
      <c r="S60" s="70"/>
      <c r="T60" s="70"/>
    </row>
    <row r="61">
      <c r="A61" s="87">
        <v>45953.0</v>
      </c>
      <c r="B61" s="80">
        <v>3465.38</v>
      </c>
      <c r="C61" s="80">
        <v>1187.1</v>
      </c>
      <c r="D61" s="80">
        <v>0.0</v>
      </c>
      <c r="E61" s="80">
        <v>4652.48</v>
      </c>
      <c r="F61" s="88">
        <v>1.12</v>
      </c>
      <c r="G61" s="80" t="s">
        <v>105</v>
      </c>
      <c r="H61" s="69"/>
      <c r="I61" s="68"/>
      <c r="J61" s="68"/>
      <c r="K61" s="68"/>
      <c r="L61" s="68"/>
      <c r="M61" s="70"/>
      <c r="N61" s="70"/>
      <c r="O61" s="70"/>
      <c r="P61" s="70"/>
      <c r="Q61" s="70"/>
      <c r="R61" s="70"/>
      <c r="S61" s="70"/>
      <c r="T61" s="70"/>
    </row>
    <row r="62">
      <c r="A62" s="87">
        <v>45954.0</v>
      </c>
      <c r="B62" s="80">
        <v>3465.38</v>
      </c>
      <c r="C62" s="80">
        <v>1185.05</v>
      </c>
      <c r="D62" s="80">
        <v>0.0</v>
      </c>
      <c r="E62" s="80">
        <v>4650.43</v>
      </c>
      <c r="F62" s="88">
        <v>1.12</v>
      </c>
      <c r="G62" s="80" t="s">
        <v>106</v>
      </c>
      <c r="H62" s="69"/>
      <c r="I62" s="68"/>
      <c r="J62" s="68"/>
      <c r="K62" s="68"/>
      <c r="L62" s="68"/>
      <c r="M62" s="70"/>
      <c r="N62" s="70"/>
      <c r="O62" s="70"/>
      <c r="P62" s="70"/>
      <c r="Q62" s="70"/>
      <c r="R62" s="70"/>
      <c r="S62" s="70"/>
      <c r="T62" s="70"/>
    </row>
    <row r="63">
      <c r="A63" s="87">
        <v>45955.0</v>
      </c>
      <c r="B63" s="80">
        <v>3465.38</v>
      </c>
      <c r="C63" s="80">
        <v>1185.05</v>
      </c>
      <c r="D63" s="80">
        <v>0.0</v>
      </c>
      <c r="E63" s="80">
        <v>4650.43</v>
      </c>
      <c r="F63" s="88">
        <v>1.12</v>
      </c>
      <c r="G63" s="80" t="s">
        <v>106</v>
      </c>
      <c r="H63" s="69"/>
      <c r="I63" s="68"/>
      <c r="J63" s="68"/>
      <c r="K63" s="68"/>
      <c r="L63" s="68"/>
      <c r="M63" s="70"/>
      <c r="N63" s="70"/>
      <c r="O63" s="70"/>
      <c r="P63" s="70"/>
      <c r="Q63" s="70"/>
      <c r="R63" s="70"/>
      <c r="S63" s="70"/>
      <c r="T63" s="70"/>
    </row>
    <row r="64">
      <c r="A64" s="87">
        <v>45956.0</v>
      </c>
      <c r="B64" s="80">
        <v>3465.38</v>
      </c>
      <c r="C64" s="80">
        <v>1185.05</v>
      </c>
      <c r="D64" s="80">
        <v>0.0</v>
      </c>
      <c r="E64" s="80">
        <v>4650.43</v>
      </c>
      <c r="F64" s="88">
        <v>1.12</v>
      </c>
      <c r="G64" s="80" t="s">
        <v>106</v>
      </c>
      <c r="H64" s="69"/>
      <c r="I64" s="68"/>
      <c r="J64" s="68"/>
      <c r="K64" s="68"/>
      <c r="L64" s="68"/>
      <c r="M64" s="70"/>
      <c r="N64" s="70"/>
      <c r="O64" s="70"/>
      <c r="P64" s="70"/>
      <c r="Q64" s="70"/>
      <c r="R64" s="70"/>
      <c r="S64" s="70"/>
      <c r="T64" s="70"/>
    </row>
    <row r="65">
      <c r="A65" s="87">
        <v>45957.0</v>
      </c>
      <c r="B65" s="80">
        <v>3465.38</v>
      </c>
      <c r="C65" s="80">
        <v>1151.53</v>
      </c>
      <c r="D65" s="80">
        <v>0.0</v>
      </c>
      <c r="E65" s="80">
        <v>4616.91</v>
      </c>
      <c r="F65" s="88">
        <v>1.11</v>
      </c>
      <c r="G65" s="80" t="s">
        <v>106</v>
      </c>
      <c r="H65" s="69"/>
      <c r="I65" s="68"/>
      <c r="J65" s="68"/>
      <c r="K65" s="68"/>
      <c r="L65" s="68"/>
      <c r="M65" s="70"/>
      <c r="N65" s="70"/>
      <c r="O65" s="70"/>
      <c r="P65" s="70"/>
      <c r="Q65" s="70"/>
      <c r="R65" s="70"/>
      <c r="S65" s="70"/>
      <c r="T65" s="70"/>
    </row>
    <row r="66">
      <c r="A66" s="87">
        <v>45958.0</v>
      </c>
      <c r="B66" s="80">
        <v>3465.38</v>
      </c>
      <c r="C66" s="80">
        <v>1141.26</v>
      </c>
      <c r="D66" s="80">
        <v>0.0</v>
      </c>
      <c r="E66" s="80">
        <v>4606.64</v>
      </c>
      <c r="F66" s="88">
        <v>1.11</v>
      </c>
      <c r="G66" s="80" t="s">
        <v>105</v>
      </c>
      <c r="H66" s="69"/>
      <c r="I66" s="68"/>
      <c r="J66" s="68"/>
      <c r="K66" s="68"/>
      <c r="L66" s="68"/>
      <c r="M66" s="70"/>
      <c r="N66" s="70"/>
      <c r="O66" s="70"/>
      <c r="P66" s="70"/>
      <c r="Q66" s="70"/>
      <c r="R66" s="70"/>
      <c r="S66" s="70"/>
      <c r="T66" s="70"/>
    </row>
    <row r="67">
      <c r="A67" s="87">
        <v>45959.0</v>
      </c>
      <c r="B67" s="80">
        <v>3465.38</v>
      </c>
      <c r="C67" s="80">
        <v>1146.29</v>
      </c>
      <c r="D67" s="80">
        <v>0.0</v>
      </c>
      <c r="E67" s="80">
        <v>4611.67</v>
      </c>
      <c r="F67" s="88">
        <v>1.11</v>
      </c>
      <c r="G67" s="80" t="s">
        <v>106</v>
      </c>
      <c r="H67" s="69"/>
      <c r="I67" s="68"/>
      <c r="J67" s="68"/>
      <c r="K67" s="68"/>
      <c r="L67" s="68"/>
      <c r="M67" s="70"/>
      <c r="N67" s="70"/>
      <c r="O67" s="70"/>
      <c r="P67" s="70"/>
      <c r="Q67" s="70"/>
      <c r="R67" s="70"/>
      <c r="S67" s="70"/>
      <c r="T67" s="70"/>
    </row>
    <row r="68">
      <c r="A68" s="87">
        <v>45960.0</v>
      </c>
      <c r="B68" s="80">
        <v>3465.38</v>
      </c>
      <c r="C68" s="80">
        <v>1151.36</v>
      </c>
      <c r="D68" s="80">
        <v>0.0</v>
      </c>
      <c r="E68" s="80">
        <v>4616.74</v>
      </c>
      <c r="F68" s="88">
        <v>1.11</v>
      </c>
      <c r="G68" s="80" t="s">
        <v>105</v>
      </c>
      <c r="H68" s="69"/>
      <c r="I68" s="68"/>
      <c r="J68" s="68"/>
      <c r="K68" s="68"/>
      <c r="L68" s="68"/>
      <c r="M68" s="70"/>
      <c r="N68" s="70"/>
      <c r="O68" s="70"/>
      <c r="P68" s="70"/>
      <c r="Q68" s="70"/>
      <c r="R68" s="70"/>
      <c r="S68" s="70"/>
      <c r="T68" s="70"/>
    </row>
    <row r="69">
      <c r="A69" s="87">
        <v>45961.0</v>
      </c>
      <c r="B69" s="80">
        <v>3465.38</v>
      </c>
      <c r="C69" s="80">
        <v>1145.86</v>
      </c>
      <c r="D69" s="80">
        <v>0.0</v>
      </c>
      <c r="E69" s="80">
        <v>4611.24</v>
      </c>
      <c r="F69" s="88">
        <v>1.11</v>
      </c>
      <c r="G69" s="80" t="s">
        <v>107</v>
      </c>
      <c r="H69" s="69"/>
      <c r="I69" s="68"/>
      <c r="J69" s="68"/>
      <c r="K69" s="68"/>
      <c r="L69" s="68"/>
      <c r="M69" s="70"/>
      <c r="N69" s="70"/>
      <c r="O69" s="70"/>
      <c r="P69" s="70"/>
      <c r="Q69" s="70"/>
      <c r="R69" s="70"/>
      <c r="S69" s="70"/>
      <c r="T69" s="70"/>
    </row>
    <row r="70">
      <c r="A70" s="87">
        <v>45962.0</v>
      </c>
      <c r="B70" s="80">
        <v>3465.38</v>
      </c>
      <c r="C70" s="80">
        <v>1145.86</v>
      </c>
      <c r="D70" s="80">
        <v>0.0</v>
      </c>
      <c r="E70" s="80">
        <v>4611.24</v>
      </c>
      <c r="F70" s="88">
        <v>1.11</v>
      </c>
      <c r="G70" s="80" t="s">
        <v>106</v>
      </c>
      <c r="H70" s="69"/>
      <c r="I70" s="68"/>
      <c r="J70" s="68"/>
      <c r="K70" s="68"/>
      <c r="L70" s="68"/>
      <c r="M70" s="70"/>
      <c r="N70" s="70"/>
      <c r="O70" s="70"/>
      <c r="P70" s="70"/>
      <c r="Q70" s="70"/>
      <c r="R70" s="70"/>
      <c r="S70" s="70"/>
      <c r="T70" s="70"/>
    </row>
    <row r="71">
      <c r="A71" s="87">
        <v>45963.0</v>
      </c>
      <c r="B71" s="80">
        <v>3465.38</v>
      </c>
      <c r="C71" s="80">
        <v>1145.86</v>
      </c>
      <c r="D71" s="80">
        <v>0.0</v>
      </c>
      <c r="E71" s="80">
        <v>4611.24</v>
      </c>
      <c r="F71" s="88">
        <v>1.11</v>
      </c>
      <c r="G71" s="80" t="s">
        <v>106</v>
      </c>
      <c r="H71" s="69"/>
      <c r="I71" s="68"/>
      <c r="J71" s="68"/>
      <c r="K71" s="68"/>
      <c r="L71" s="68"/>
      <c r="M71" s="70"/>
      <c r="N71" s="70"/>
      <c r="O71" s="70"/>
      <c r="P71" s="70"/>
      <c r="Q71" s="70"/>
      <c r="R71" s="70"/>
      <c r="S71" s="70"/>
      <c r="T71" s="70"/>
    </row>
    <row r="72">
      <c r="A72" s="87">
        <v>45964.0</v>
      </c>
      <c r="B72" s="80">
        <v>3465.38</v>
      </c>
      <c r="C72" s="80">
        <v>1151.07</v>
      </c>
      <c r="D72" s="80">
        <v>0.0</v>
      </c>
      <c r="E72" s="80">
        <v>4616.45</v>
      </c>
      <c r="F72" s="88">
        <v>1.11</v>
      </c>
      <c r="G72" s="80" t="s">
        <v>106</v>
      </c>
      <c r="H72" s="69"/>
      <c r="I72" s="68"/>
      <c r="J72" s="68"/>
      <c r="K72" s="68"/>
      <c r="L72" s="68"/>
      <c r="M72" s="70"/>
      <c r="N72" s="70"/>
      <c r="O72" s="70"/>
      <c r="P72" s="70"/>
      <c r="Q72" s="70"/>
      <c r="R72" s="70"/>
      <c r="S72" s="70"/>
      <c r="T72" s="70"/>
    </row>
    <row r="73">
      <c r="A73" s="87">
        <v>45965.0</v>
      </c>
      <c r="B73" s="80">
        <v>3465.38</v>
      </c>
      <c r="C73" s="80">
        <v>1135.93</v>
      </c>
      <c r="D73" s="80">
        <v>0.0</v>
      </c>
      <c r="E73" s="80">
        <v>4601.31</v>
      </c>
      <c r="F73" s="88">
        <v>1.11</v>
      </c>
      <c r="G73" s="80" t="s">
        <v>106</v>
      </c>
      <c r="H73" s="69"/>
      <c r="I73" s="68"/>
      <c r="J73" s="68"/>
      <c r="K73" s="68"/>
      <c r="L73" s="68"/>
      <c r="M73" s="70"/>
      <c r="N73" s="70"/>
      <c r="O73" s="70"/>
      <c r="P73" s="70"/>
      <c r="Q73" s="70"/>
      <c r="R73" s="70"/>
      <c r="S73" s="70"/>
      <c r="T73" s="70"/>
    </row>
    <row r="74">
      <c r="A74" s="87">
        <v>45966.0</v>
      </c>
      <c r="B74" s="80">
        <v>3465.38</v>
      </c>
      <c r="C74" s="80">
        <v>1145.32</v>
      </c>
      <c r="D74" s="80">
        <v>0.0</v>
      </c>
      <c r="E74" s="80">
        <v>4610.7</v>
      </c>
      <c r="F74" s="88">
        <v>1.11</v>
      </c>
      <c r="G74" s="80" t="s">
        <v>106</v>
      </c>
      <c r="H74" s="69"/>
      <c r="I74" s="68"/>
      <c r="J74" s="68"/>
      <c r="K74" s="68"/>
      <c r="L74" s="68"/>
      <c r="M74" s="70"/>
      <c r="N74" s="70"/>
      <c r="O74" s="70"/>
      <c r="P74" s="70"/>
      <c r="Q74" s="70"/>
      <c r="R74" s="70"/>
      <c r="S74" s="70"/>
      <c r="T74" s="70"/>
    </row>
    <row r="75">
      <c r="A75" s="87">
        <v>45967.0</v>
      </c>
      <c r="B75" s="80">
        <v>3465.38</v>
      </c>
      <c r="C75" s="80">
        <v>1145.2</v>
      </c>
      <c r="D75" s="80">
        <v>0.0</v>
      </c>
      <c r="E75" s="80">
        <v>4610.58</v>
      </c>
      <c r="F75" s="88">
        <v>1.11</v>
      </c>
      <c r="G75" s="80" t="s">
        <v>105</v>
      </c>
      <c r="H75" s="69"/>
      <c r="I75" s="68"/>
      <c r="J75" s="68"/>
      <c r="K75" s="68"/>
      <c r="L75" s="68"/>
      <c r="M75" s="70"/>
      <c r="N75" s="70"/>
      <c r="O75" s="70"/>
      <c r="P75" s="70"/>
      <c r="Q75" s="70"/>
      <c r="R75" s="70"/>
      <c r="S75" s="70"/>
      <c r="T75" s="70"/>
    </row>
    <row r="76">
      <c r="A76" s="87">
        <v>45968.0</v>
      </c>
      <c r="B76" s="80">
        <v>3465.38</v>
      </c>
      <c r="C76" s="80">
        <v>1150.81</v>
      </c>
      <c r="D76" s="80">
        <v>0.0</v>
      </c>
      <c r="E76" s="80">
        <v>4616.19</v>
      </c>
      <c r="F76" s="88">
        <v>1.11</v>
      </c>
      <c r="G76" s="80" t="s">
        <v>106</v>
      </c>
      <c r="H76" s="69"/>
      <c r="I76" s="68"/>
      <c r="J76" s="68"/>
      <c r="K76" s="68"/>
      <c r="L76" s="68"/>
      <c r="M76" s="70"/>
      <c r="N76" s="70"/>
      <c r="O76" s="70"/>
      <c r="P76" s="70"/>
      <c r="Q76" s="70"/>
      <c r="R76" s="70"/>
      <c r="S76" s="70"/>
      <c r="T76" s="70"/>
    </row>
    <row r="77">
      <c r="A77" s="87">
        <v>45969.0</v>
      </c>
      <c r="B77" s="80">
        <v>3465.38</v>
      </c>
      <c r="C77" s="80">
        <v>1150.81</v>
      </c>
      <c r="D77" s="80">
        <v>0.0</v>
      </c>
      <c r="E77" s="80">
        <v>4616.19</v>
      </c>
      <c r="F77" s="88">
        <v>1.11</v>
      </c>
      <c r="G77" s="80" t="s">
        <v>106</v>
      </c>
      <c r="H77" s="69"/>
      <c r="I77" s="68"/>
      <c r="J77" s="68"/>
      <c r="K77" s="68"/>
      <c r="L77" s="68"/>
      <c r="M77" s="70"/>
      <c r="N77" s="70"/>
      <c r="O77" s="70"/>
      <c r="P77" s="70"/>
      <c r="Q77" s="70"/>
      <c r="R77" s="70"/>
      <c r="S77" s="70"/>
      <c r="T77" s="70"/>
    </row>
    <row r="78">
      <c r="A78" s="87">
        <v>45970.0</v>
      </c>
      <c r="B78" s="80">
        <v>3465.38</v>
      </c>
      <c r="C78" s="80">
        <v>1150.81</v>
      </c>
      <c r="D78" s="80">
        <v>0.0</v>
      </c>
      <c r="E78" s="80">
        <v>4616.19</v>
      </c>
      <c r="F78" s="88">
        <v>1.11</v>
      </c>
      <c r="G78" s="80" t="s">
        <v>106</v>
      </c>
      <c r="H78" s="69"/>
      <c r="I78" s="68"/>
      <c r="J78" s="68"/>
      <c r="K78" s="68"/>
      <c r="L78" s="68"/>
      <c r="M78" s="70"/>
      <c r="N78" s="70"/>
      <c r="O78" s="70"/>
      <c r="P78" s="70"/>
      <c r="Q78" s="70"/>
      <c r="R78" s="70"/>
      <c r="S78" s="70"/>
      <c r="T78" s="70"/>
    </row>
    <row r="79">
      <c r="A79" s="87">
        <v>45971.0</v>
      </c>
      <c r="B79" s="80">
        <v>3465.38</v>
      </c>
      <c r="C79" s="80">
        <v>1183.15</v>
      </c>
      <c r="D79" s="80">
        <v>0.0</v>
      </c>
      <c r="E79" s="80">
        <v>4648.53</v>
      </c>
      <c r="F79" s="88">
        <v>1.12</v>
      </c>
      <c r="G79" s="80" t="s">
        <v>106</v>
      </c>
      <c r="H79" s="69"/>
      <c r="I79" s="68"/>
      <c r="J79" s="68"/>
      <c r="K79" s="68"/>
      <c r="L79" s="68"/>
      <c r="M79" s="70"/>
      <c r="N79" s="70"/>
      <c r="O79" s="70"/>
      <c r="P79" s="70"/>
      <c r="Q79" s="70"/>
      <c r="R79" s="70"/>
      <c r="S79" s="70"/>
      <c r="T79" s="70"/>
    </row>
    <row r="80">
      <c r="A80" s="87">
        <v>45972.0</v>
      </c>
      <c r="B80" s="80">
        <v>3465.38</v>
      </c>
      <c r="C80" s="80">
        <v>1181.72</v>
      </c>
      <c r="D80" s="80">
        <v>0.0</v>
      </c>
      <c r="E80" s="80">
        <v>4647.1</v>
      </c>
      <c r="F80" s="88">
        <v>1.12</v>
      </c>
      <c r="G80" s="80" t="s">
        <v>106</v>
      </c>
      <c r="H80" s="69"/>
      <c r="I80" s="68"/>
      <c r="J80" s="68"/>
      <c r="K80" s="68"/>
      <c r="L80" s="68"/>
      <c r="M80" s="70"/>
      <c r="N80" s="70"/>
      <c r="O80" s="70"/>
      <c r="P80" s="70"/>
      <c r="Q80" s="70"/>
      <c r="R80" s="70"/>
      <c r="S80" s="70"/>
      <c r="T80" s="70"/>
    </row>
    <row r="81">
      <c r="A81" s="87">
        <v>45973.0</v>
      </c>
      <c r="B81" s="80">
        <v>3465.38</v>
      </c>
      <c r="C81" s="80">
        <v>1209.8</v>
      </c>
      <c r="D81" s="80">
        <v>0.0</v>
      </c>
      <c r="E81" s="80">
        <v>4675.18</v>
      </c>
      <c r="F81" s="88">
        <v>1.12</v>
      </c>
      <c r="G81" s="80" t="s">
        <v>106</v>
      </c>
      <c r="H81" s="69"/>
      <c r="I81" s="68"/>
      <c r="J81" s="68"/>
      <c r="K81" s="68"/>
      <c r="L81" s="68"/>
      <c r="M81" s="70"/>
      <c r="N81" s="70"/>
      <c r="O81" s="70"/>
      <c r="P81" s="70"/>
      <c r="Q81" s="70"/>
      <c r="R81" s="70"/>
      <c r="S81" s="70"/>
      <c r="T81" s="70"/>
    </row>
    <row r="82">
      <c r="A82" s="87">
        <v>45974.0</v>
      </c>
      <c r="B82" s="80">
        <v>3465.38</v>
      </c>
      <c r="C82" s="80">
        <v>1204.76</v>
      </c>
      <c r="D82" s="80">
        <v>0.0</v>
      </c>
      <c r="E82" s="80">
        <v>4670.14</v>
      </c>
      <c r="F82" s="88">
        <v>1.12</v>
      </c>
      <c r="G82" s="80" t="s">
        <v>105</v>
      </c>
      <c r="H82" s="69"/>
      <c r="I82" s="68"/>
      <c r="J82" s="68"/>
      <c r="K82" s="68"/>
      <c r="L82" s="68"/>
      <c r="M82" s="70"/>
      <c r="N82" s="70"/>
      <c r="O82" s="70"/>
      <c r="P82" s="70"/>
      <c r="Q82" s="70"/>
      <c r="R82" s="70"/>
      <c r="S82" s="70"/>
      <c r="T82" s="70"/>
    </row>
    <row r="83">
      <c r="A83" s="87">
        <v>45975.0</v>
      </c>
      <c r="B83" s="80">
        <v>3465.38</v>
      </c>
      <c r="C83" s="80">
        <v>1176.19</v>
      </c>
      <c r="D83" s="80">
        <v>0.0</v>
      </c>
      <c r="E83" s="80">
        <v>4641.57</v>
      </c>
      <c r="F83" s="88">
        <v>1.12</v>
      </c>
      <c r="G83" s="80" t="s">
        <v>106</v>
      </c>
      <c r="H83" s="69"/>
      <c r="I83" s="68"/>
      <c r="J83" s="68"/>
      <c r="K83" s="68"/>
      <c r="L83" s="68"/>
      <c r="M83" s="70"/>
      <c r="N83" s="70"/>
      <c r="O83" s="70"/>
      <c r="P83" s="70"/>
      <c r="Q83" s="70"/>
      <c r="R83" s="70"/>
      <c r="S83" s="70"/>
      <c r="T83" s="70"/>
    </row>
    <row r="84">
      <c r="A84" s="87">
        <v>45976.0</v>
      </c>
      <c r="B84" s="80">
        <v>3465.38</v>
      </c>
      <c r="C84" s="80">
        <v>1176.19</v>
      </c>
      <c r="D84" s="80">
        <v>0.0</v>
      </c>
      <c r="E84" s="80">
        <v>4641.57</v>
      </c>
      <c r="F84" s="88">
        <v>1.12</v>
      </c>
      <c r="G84" s="80" t="s">
        <v>106</v>
      </c>
      <c r="H84" s="69"/>
      <c r="I84" s="68"/>
      <c r="J84" s="68"/>
      <c r="K84" s="68"/>
      <c r="L84" s="68"/>
      <c r="M84" s="70"/>
      <c r="N84" s="70"/>
      <c r="O84" s="70"/>
      <c r="P84" s="70"/>
      <c r="Q84" s="70"/>
      <c r="R84" s="70"/>
      <c r="S84" s="70"/>
      <c r="T84" s="70"/>
    </row>
    <row r="85">
      <c r="A85" s="87">
        <v>45977.0</v>
      </c>
      <c r="B85" s="80">
        <v>3465.38</v>
      </c>
      <c r="C85" s="80">
        <v>1176.19</v>
      </c>
      <c r="D85" s="80">
        <v>0.0</v>
      </c>
      <c r="E85" s="80">
        <v>4641.57</v>
      </c>
      <c r="F85" s="88">
        <v>1.12</v>
      </c>
      <c r="G85" s="80" t="s">
        <v>106</v>
      </c>
      <c r="H85" s="69"/>
      <c r="I85" s="68"/>
      <c r="J85" s="68"/>
      <c r="K85" s="68"/>
      <c r="L85" s="68"/>
      <c r="M85" s="70"/>
      <c r="N85" s="70"/>
      <c r="O85" s="70"/>
      <c r="P85" s="70"/>
      <c r="Q85" s="70"/>
      <c r="R85" s="70"/>
      <c r="S85" s="70"/>
      <c r="T85" s="70"/>
    </row>
    <row r="86">
      <c r="A86" s="87">
        <v>45978.0</v>
      </c>
      <c r="B86" s="80">
        <v>3465.38</v>
      </c>
      <c r="C86" s="80">
        <v>1170.64</v>
      </c>
      <c r="D86" s="80">
        <v>0.0</v>
      </c>
      <c r="E86" s="80">
        <v>4636.02</v>
      </c>
      <c r="F86" s="88">
        <v>1.12</v>
      </c>
      <c r="G86" s="80" t="s">
        <v>106</v>
      </c>
      <c r="H86" s="69"/>
      <c r="I86" s="68"/>
      <c r="J86" s="68"/>
      <c r="K86" s="68"/>
      <c r="L86" s="68"/>
      <c r="M86" s="70"/>
      <c r="N86" s="70"/>
      <c r="O86" s="70"/>
      <c r="P86" s="70"/>
      <c r="Q86" s="70"/>
      <c r="R86" s="70"/>
      <c r="S86" s="70"/>
      <c r="T86" s="70"/>
    </row>
    <row r="87">
      <c r="A87" s="87">
        <v>45979.0</v>
      </c>
      <c r="B87" s="80">
        <v>3465.38</v>
      </c>
      <c r="C87" s="80">
        <v>1168.62</v>
      </c>
      <c r="D87" s="80">
        <v>0.0</v>
      </c>
      <c r="E87" s="80">
        <v>4634.0</v>
      </c>
      <c r="F87" s="88">
        <v>1.11</v>
      </c>
      <c r="G87" s="80" t="s">
        <v>106</v>
      </c>
      <c r="H87" s="69"/>
      <c r="I87" s="68"/>
      <c r="J87" s="68"/>
      <c r="K87" s="68"/>
      <c r="L87" s="68"/>
      <c r="M87" s="70"/>
      <c r="N87" s="70"/>
      <c r="O87" s="70"/>
      <c r="P87" s="70"/>
      <c r="Q87" s="70"/>
      <c r="R87" s="70"/>
      <c r="S87" s="70"/>
      <c r="T87" s="70"/>
    </row>
    <row r="88">
      <c r="A88" s="87">
        <v>45980.0</v>
      </c>
      <c r="B88" s="80">
        <v>3465.38</v>
      </c>
      <c r="C88" s="80">
        <v>1173.34</v>
      </c>
      <c r="D88" s="80">
        <v>0.0</v>
      </c>
      <c r="E88" s="80">
        <v>4638.72</v>
      </c>
      <c r="F88" s="88">
        <v>1.12</v>
      </c>
      <c r="G88" s="80" t="s">
        <v>106</v>
      </c>
      <c r="H88" s="69"/>
      <c r="I88" s="68"/>
      <c r="J88" s="68"/>
      <c r="K88" s="68"/>
      <c r="L88" s="68"/>
      <c r="M88" s="70"/>
      <c r="N88" s="70"/>
      <c r="O88" s="70"/>
      <c r="P88" s="70"/>
      <c r="Q88" s="70"/>
      <c r="R88" s="70"/>
      <c r="S88" s="70"/>
      <c r="T88" s="70"/>
    </row>
    <row r="89">
      <c r="A89" s="87">
        <v>45981.0</v>
      </c>
      <c r="B89" s="80">
        <v>3465.38</v>
      </c>
      <c r="C89" s="80">
        <v>1167.24</v>
      </c>
      <c r="D89" s="80">
        <v>0.0</v>
      </c>
      <c r="E89" s="80">
        <v>4632.62</v>
      </c>
      <c r="F89" s="88">
        <v>1.11</v>
      </c>
      <c r="G89" s="80" t="s">
        <v>105</v>
      </c>
      <c r="H89" s="69"/>
      <c r="I89" s="68"/>
      <c r="J89" s="68"/>
      <c r="K89" s="68"/>
      <c r="L89" s="68"/>
      <c r="M89" s="70"/>
      <c r="N89" s="70"/>
      <c r="O89" s="70"/>
      <c r="P89" s="70"/>
      <c r="Q89" s="70"/>
      <c r="R89" s="70"/>
      <c r="S89" s="70"/>
      <c r="T89" s="70"/>
    </row>
    <row r="90">
      <c r="A90" s="87">
        <v>45982.0</v>
      </c>
      <c r="B90" s="80">
        <v>3465.38</v>
      </c>
      <c r="C90" s="80">
        <v>1173.05</v>
      </c>
      <c r="D90" s="80">
        <v>0.0</v>
      </c>
      <c r="E90" s="80">
        <v>4638.43</v>
      </c>
      <c r="F90" s="88">
        <v>1.12</v>
      </c>
      <c r="G90" s="80" t="s">
        <v>106</v>
      </c>
      <c r="H90" s="69"/>
      <c r="I90" s="68"/>
      <c r="J90" s="68"/>
      <c r="K90" s="68"/>
      <c r="L90" s="68"/>
      <c r="M90" s="70"/>
      <c r="N90" s="70"/>
      <c r="O90" s="70"/>
      <c r="P90" s="70"/>
      <c r="Q90" s="70"/>
      <c r="R90" s="70"/>
      <c r="S90" s="70"/>
      <c r="T90" s="70"/>
    </row>
    <row r="91">
      <c r="A91" s="87">
        <v>45983.0</v>
      </c>
      <c r="B91" s="80">
        <v>3465.38</v>
      </c>
      <c r="C91" s="80">
        <v>1173.05</v>
      </c>
      <c r="D91" s="80">
        <v>0.0</v>
      </c>
      <c r="E91" s="80">
        <v>4638.43</v>
      </c>
      <c r="F91" s="88">
        <v>1.12</v>
      </c>
      <c r="G91" s="80" t="s">
        <v>106</v>
      </c>
      <c r="H91" s="69"/>
      <c r="I91" s="68"/>
      <c r="J91" s="68"/>
      <c r="K91" s="68"/>
      <c r="L91" s="68"/>
      <c r="M91" s="70"/>
      <c r="N91" s="70"/>
      <c r="O91" s="70"/>
      <c r="P91" s="70"/>
      <c r="Q91" s="70"/>
      <c r="R91" s="70"/>
      <c r="S91" s="70"/>
      <c r="T91" s="70"/>
    </row>
    <row r="92">
      <c r="A92" s="87">
        <v>45984.0</v>
      </c>
      <c r="B92" s="80">
        <v>3465.38</v>
      </c>
      <c r="C92" s="80">
        <v>1173.05</v>
      </c>
      <c r="D92" s="80">
        <v>0.0</v>
      </c>
      <c r="E92" s="80">
        <v>4638.43</v>
      </c>
      <c r="F92" s="88">
        <v>1.12</v>
      </c>
      <c r="G92" s="80" t="s">
        <v>106</v>
      </c>
      <c r="H92" s="69"/>
      <c r="I92" s="68"/>
      <c r="J92" s="68"/>
      <c r="K92" s="68"/>
      <c r="L92" s="68"/>
      <c r="M92" s="70"/>
      <c r="N92" s="70"/>
      <c r="O92" s="70"/>
      <c r="P92" s="70"/>
      <c r="Q92" s="70"/>
      <c r="R92" s="70"/>
      <c r="S92" s="70"/>
      <c r="T92" s="70"/>
    </row>
    <row r="93">
      <c r="A93" s="87">
        <v>45985.0</v>
      </c>
      <c r="B93" s="80">
        <v>3465.38</v>
      </c>
      <c r="C93" s="80">
        <v>1177.43</v>
      </c>
      <c r="D93" s="80">
        <v>0.0</v>
      </c>
      <c r="E93" s="80">
        <v>4642.81</v>
      </c>
      <c r="F93" s="88">
        <v>1.12</v>
      </c>
      <c r="G93" s="80" t="s">
        <v>106</v>
      </c>
      <c r="H93" s="69"/>
      <c r="I93" s="68"/>
      <c r="J93" s="68"/>
      <c r="K93" s="68"/>
      <c r="L93" s="68"/>
      <c r="M93" s="70"/>
      <c r="N93" s="70"/>
      <c r="O93" s="70"/>
      <c r="P93" s="70"/>
      <c r="Q93" s="70"/>
      <c r="R93" s="70"/>
      <c r="S93" s="70"/>
      <c r="T93" s="70"/>
    </row>
    <row r="94">
      <c r="A94" s="87">
        <v>45986.0</v>
      </c>
      <c r="B94" s="80">
        <v>3465.38</v>
      </c>
      <c r="C94" s="80">
        <v>1191.04</v>
      </c>
      <c r="D94" s="80">
        <v>0.0</v>
      </c>
      <c r="E94" s="80">
        <v>4656.42</v>
      </c>
      <c r="F94" s="88">
        <v>1.12</v>
      </c>
      <c r="G94" s="80" t="s">
        <v>106</v>
      </c>
      <c r="H94" s="69"/>
      <c r="I94" s="68"/>
      <c r="J94" s="68"/>
      <c r="K94" s="68"/>
      <c r="L94" s="68"/>
      <c r="M94" s="70"/>
      <c r="N94" s="70"/>
      <c r="O94" s="70"/>
      <c r="P94" s="70"/>
      <c r="Q94" s="70"/>
      <c r="R94" s="70"/>
      <c r="S94" s="70"/>
      <c r="T94" s="70"/>
    </row>
    <row r="95">
      <c r="A95" s="87">
        <v>45987.0</v>
      </c>
      <c r="B95" s="80">
        <v>3465.38</v>
      </c>
      <c r="C95" s="80">
        <v>1198.52</v>
      </c>
      <c r="D95" s="80">
        <v>0.0</v>
      </c>
      <c r="E95" s="80">
        <v>4663.9</v>
      </c>
      <c r="F95" s="88">
        <v>1.12</v>
      </c>
      <c r="G95" s="80" t="s">
        <v>106</v>
      </c>
      <c r="H95" s="69"/>
      <c r="I95" s="68"/>
      <c r="J95" s="68"/>
      <c r="K95" s="68"/>
      <c r="L95" s="68"/>
      <c r="M95" s="70"/>
      <c r="N95" s="70"/>
      <c r="O95" s="70"/>
      <c r="P95" s="70"/>
      <c r="Q95" s="70"/>
      <c r="R95" s="70"/>
      <c r="S95" s="70"/>
      <c r="T95" s="70"/>
    </row>
    <row r="96">
      <c r="A96" s="87">
        <v>45988.0</v>
      </c>
      <c r="B96" s="80">
        <v>3465.38</v>
      </c>
      <c r="C96" s="80">
        <v>1198.52</v>
      </c>
      <c r="D96" s="80">
        <v>0.0</v>
      </c>
      <c r="E96" s="80">
        <v>4663.9</v>
      </c>
      <c r="F96" s="88">
        <v>1.12</v>
      </c>
      <c r="G96" s="80" t="s">
        <v>105</v>
      </c>
      <c r="H96" s="69"/>
      <c r="I96" s="68"/>
      <c r="J96" s="68"/>
      <c r="K96" s="68"/>
      <c r="L96" s="68"/>
      <c r="M96" s="70"/>
      <c r="N96" s="70"/>
      <c r="O96" s="70"/>
      <c r="P96" s="70"/>
      <c r="Q96" s="70"/>
      <c r="R96" s="70"/>
      <c r="S96" s="70"/>
      <c r="T96" s="70"/>
    </row>
    <row r="97">
      <c r="A97" s="87">
        <v>45989.0</v>
      </c>
      <c r="B97" s="80">
        <v>3465.38</v>
      </c>
      <c r="C97" s="80">
        <v>1213.8</v>
      </c>
      <c r="D97" s="80">
        <v>0.0</v>
      </c>
      <c r="E97" s="80">
        <v>4679.18</v>
      </c>
      <c r="F97" s="88">
        <v>1.13</v>
      </c>
      <c r="G97" s="80" t="s">
        <v>106</v>
      </c>
      <c r="H97" s="69"/>
      <c r="I97" s="68"/>
      <c r="J97" s="68"/>
      <c r="K97" s="68"/>
      <c r="L97" s="68"/>
      <c r="M97" s="70"/>
      <c r="N97" s="70"/>
      <c r="O97" s="70"/>
      <c r="P97" s="70"/>
      <c r="Q97" s="70"/>
      <c r="R97" s="70"/>
      <c r="S97" s="70"/>
      <c r="T97" s="70"/>
    </row>
    <row r="98">
      <c r="A98" s="87">
        <v>45990.0</v>
      </c>
      <c r="B98" s="80">
        <v>3465.38</v>
      </c>
      <c r="C98" s="80">
        <v>1213.8</v>
      </c>
      <c r="D98" s="80">
        <v>0.0</v>
      </c>
      <c r="E98" s="80">
        <v>4679.18</v>
      </c>
      <c r="F98" s="88">
        <v>1.13</v>
      </c>
      <c r="G98" s="80" t="s">
        <v>106</v>
      </c>
      <c r="H98" s="69"/>
      <c r="I98" s="68"/>
      <c r="J98" s="68"/>
      <c r="K98" s="68"/>
      <c r="L98" s="68"/>
      <c r="M98" s="70"/>
      <c r="N98" s="70"/>
      <c r="O98" s="70"/>
      <c r="P98" s="70"/>
      <c r="Q98" s="70"/>
      <c r="R98" s="70"/>
      <c r="S98" s="70"/>
      <c r="T98" s="70"/>
    </row>
    <row r="99">
      <c r="A99" s="87">
        <v>45991.0</v>
      </c>
      <c r="B99" s="80">
        <v>3465.38</v>
      </c>
      <c r="C99" s="80">
        <v>1213.8</v>
      </c>
      <c r="D99" s="80">
        <v>0.0</v>
      </c>
      <c r="E99" s="80">
        <v>4679.18</v>
      </c>
      <c r="F99" s="88">
        <v>1.13</v>
      </c>
      <c r="G99" s="80" t="s">
        <v>107</v>
      </c>
      <c r="H99" s="69"/>
      <c r="I99" s="68"/>
      <c r="J99" s="68"/>
      <c r="K99" s="68"/>
      <c r="L99" s="68"/>
      <c r="M99" s="70"/>
      <c r="N99" s="70"/>
      <c r="O99" s="70"/>
      <c r="P99" s="70"/>
      <c r="Q99" s="70"/>
      <c r="R99" s="70"/>
      <c r="S99" s="70"/>
      <c r="T99" s="70"/>
    </row>
    <row r="100">
      <c r="A100" s="87">
        <v>45992.0</v>
      </c>
      <c r="B100" s="80">
        <v>3465.38</v>
      </c>
      <c r="C100" s="80">
        <v>1219.84</v>
      </c>
      <c r="D100" s="80">
        <v>0.0</v>
      </c>
      <c r="E100" s="80">
        <v>4685.22</v>
      </c>
      <c r="F100" s="88">
        <v>1.13</v>
      </c>
      <c r="G100" s="80" t="s">
        <v>108</v>
      </c>
      <c r="H100" s="69"/>
      <c r="I100" s="68"/>
      <c r="J100" s="68"/>
      <c r="K100" s="68"/>
      <c r="L100" s="68"/>
      <c r="M100" s="70"/>
      <c r="N100" s="70"/>
      <c r="O100" s="70"/>
      <c r="P100" s="70"/>
      <c r="Q100" s="70"/>
      <c r="R100" s="70"/>
      <c r="S100" s="70"/>
      <c r="T100" s="70"/>
    </row>
    <row r="101">
      <c r="A101" s="87">
        <v>45993.0</v>
      </c>
      <c r="B101" s="80">
        <v>3465.38</v>
      </c>
      <c r="C101" s="80">
        <v>1204.68</v>
      </c>
      <c r="D101" s="80">
        <v>0.0</v>
      </c>
      <c r="E101" s="80">
        <v>4670.06</v>
      </c>
      <c r="F101" s="88">
        <v>1.12</v>
      </c>
      <c r="G101" s="80" t="s">
        <v>108</v>
      </c>
      <c r="H101" s="69"/>
      <c r="I101" s="68"/>
      <c r="J101" s="68"/>
      <c r="K101" s="68"/>
      <c r="L101" s="68"/>
      <c r="M101" s="70"/>
      <c r="N101" s="70"/>
      <c r="O101" s="70"/>
      <c r="P101" s="70"/>
      <c r="Q101" s="70"/>
      <c r="R101" s="70"/>
      <c r="S101" s="70"/>
      <c r="T101" s="70"/>
    </row>
    <row r="102">
      <c r="A102" s="87">
        <v>45994.0</v>
      </c>
      <c r="B102" s="80">
        <v>3465.38</v>
      </c>
      <c r="C102" s="80">
        <v>1208.33</v>
      </c>
      <c r="D102" s="80">
        <v>0.0</v>
      </c>
      <c r="E102" s="80">
        <v>4673.71</v>
      </c>
      <c r="F102" s="88">
        <v>1.12</v>
      </c>
      <c r="G102" s="80" t="s">
        <v>108</v>
      </c>
      <c r="H102" s="69"/>
      <c r="I102" s="68"/>
      <c r="J102" s="68"/>
      <c r="K102" s="68"/>
      <c r="L102" s="68"/>
      <c r="M102" s="70"/>
      <c r="N102" s="70"/>
      <c r="O102" s="70"/>
      <c r="P102" s="70"/>
      <c r="Q102" s="70"/>
      <c r="R102" s="70"/>
      <c r="S102" s="70"/>
      <c r="T102" s="70"/>
    </row>
    <row r="103">
      <c r="A103" s="87">
        <v>45995.0</v>
      </c>
      <c r="B103" s="80">
        <v>3465.38</v>
      </c>
      <c r="C103" s="80">
        <v>1211.93</v>
      </c>
      <c r="D103" s="80">
        <v>0.0</v>
      </c>
      <c r="E103" s="80">
        <v>4677.31</v>
      </c>
      <c r="F103" s="88">
        <v>1.12</v>
      </c>
      <c r="G103" s="80" t="s">
        <v>108</v>
      </c>
      <c r="H103" s="69"/>
      <c r="I103" s="68"/>
      <c r="J103" s="68"/>
      <c r="K103" s="68"/>
      <c r="L103" s="68"/>
      <c r="M103" s="70"/>
      <c r="N103" s="70"/>
      <c r="O103" s="70"/>
      <c r="P103" s="70"/>
      <c r="Q103" s="70"/>
      <c r="R103" s="70"/>
      <c r="S103" s="70"/>
      <c r="T103" s="70"/>
    </row>
    <row r="104">
      <c r="A104" s="87">
        <v>45996.0</v>
      </c>
      <c r="B104" s="80">
        <v>3465.38</v>
      </c>
      <c r="C104" s="80">
        <v>1212.24</v>
      </c>
      <c r="D104" s="80">
        <v>0.0</v>
      </c>
      <c r="E104" s="80">
        <v>4677.62</v>
      </c>
      <c r="F104" s="88">
        <v>1.13</v>
      </c>
      <c r="G104" s="80" t="s">
        <v>108</v>
      </c>
      <c r="H104" s="69"/>
      <c r="I104" s="68"/>
      <c r="J104" s="68"/>
      <c r="K104" s="68"/>
      <c r="L104" s="68"/>
      <c r="M104" s="70"/>
      <c r="N104" s="70"/>
      <c r="O104" s="70"/>
      <c r="P104" s="70"/>
      <c r="Q104" s="70"/>
      <c r="R104" s="70"/>
      <c r="S104" s="70"/>
      <c r="T104" s="70"/>
    </row>
    <row r="105">
      <c r="A105" s="87">
        <v>45997.0</v>
      </c>
      <c r="B105" s="80">
        <v>3465.38</v>
      </c>
      <c r="C105" s="80">
        <v>1212.24</v>
      </c>
      <c r="D105" s="80">
        <v>0.0</v>
      </c>
      <c r="E105" s="80">
        <v>4677.62</v>
      </c>
      <c r="F105" s="88">
        <v>1.13</v>
      </c>
      <c r="G105" s="80" t="s">
        <v>108</v>
      </c>
      <c r="H105" s="69"/>
      <c r="I105" s="68"/>
      <c r="J105" s="68"/>
      <c r="K105" s="68"/>
      <c r="L105" s="68"/>
      <c r="M105" s="70"/>
      <c r="N105" s="70"/>
      <c r="O105" s="70"/>
      <c r="P105" s="70"/>
      <c r="Q105" s="70"/>
      <c r="R105" s="70"/>
      <c r="S105" s="70"/>
      <c r="T105" s="70"/>
    </row>
    <row r="106">
      <c r="A106" s="87">
        <v>45998.0</v>
      </c>
      <c r="B106" s="80">
        <v>3465.38</v>
      </c>
      <c r="C106" s="80">
        <v>1212.24</v>
      </c>
      <c r="D106" s="80">
        <v>0.0</v>
      </c>
      <c r="E106" s="80">
        <v>4677.62</v>
      </c>
      <c r="F106" s="88">
        <v>1.13</v>
      </c>
      <c r="G106" s="80" t="s">
        <v>108</v>
      </c>
      <c r="H106" s="69"/>
      <c r="I106" s="68"/>
      <c r="J106" s="68"/>
      <c r="K106" s="68"/>
      <c r="L106" s="68"/>
      <c r="M106" s="70"/>
      <c r="N106" s="70"/>
      <c r="O106" s="70"/>
      <c r="P106" s="70"/>
      <c r="Q106" s="70"/>
      <c r="R106" s="70"/>
      <c r="S106" s="70"/>
      <c r="T106" s="70"/>
    </row>
    <row r="107">
      <c r="A107" s="87">
        <v>45999.0</v>
      </c>
      <c r="B107" s="80">
        <v>3195.28</v>
      </c>
      <c r="C107" s="80">
        <v>1204.85</v>
      </c>
      <c r="D107" s="80">
        <v>291.52</v>
      </c>
      <c r="E107" s="80">
        <v>4691.65</v>
      </c>
      <c r="F107" s="88">
        <v>1.13</v>
      </c>
      <c r="G107" s="80" t="s">
        <v>108</v>
      </c>
      <c r="H107" s="69"/>
      <c r="I107" s="68"/>
      <c r="J107" s="68"/>
      <c r="K107" s="68"/>
      <c r="L107" s="68"/>
      <c r="M107" s="70"/>
      <c r="N107" s="70"/>
      <c r="O107" s="70"/>
      <c r="P107" s="70"/>
      <c r="Q107" s="70"/>
      <c r="R107" s="70"/>
      <c r="S107" s="70"/>
      <c r="T107" s="70"/>
    </row>
    <row r="108">
      <c r="A108" s="87">
        <v>46000.0</v>
      </c>
      <c r="B108" s="80">
        <v>3074.97</v>
      </c>
      <c r="C108" s="80">
        <v>1210.46</v>
      </c>
      <c r="D108" s="80">
        <v>422.38</v>
      </c>
      <c r="E108" s="80">
        <v>4707.81</v>
      </c>
      <c r="F108" s="88">
        <v>1.13</v>
      </c>
      <c r="G108" s="80" t="s">
        <v>108</v>
      </c>
      <c r="H108" s="69"/>
      <c r="I108" s="68"/>
      <c r="J108" s="68"/>
      <c r="K108" s="68"/>
      <c r="L108" s="68"/>
      <c r="M108" s="70"/>
      <c r="N108" s="70"/>
      <c r="O108" s="70"/>
      <c r="P108" s="70"/>
      <c r="Q108" s="70"/>
      <c r="R108" s="70"/>
      <c r="S108" s="70"/>
      <c r="T108" s="70"/>
    </row>
    <row r="109">
      <c r="A109" s="87">
        <v>46001.0</v>
      </c>
      <c r="B109" s="80">
        <v>2954.67</v>
      </c>
      <c r="C109" s="80">
        <v>1207.5</v>
      </c>
      <c r="D109" s="80">
        <v>554.43</v>
      </c>
      <c r="E109" s="80">
        <v>4716.6</v>
      </c>
      <c r="F109" s="88">
        <v>1.13</v>
      </c>
      <c r="G109" s="80" t="s">
        <v>108</v>
      </c>
      <c r="H109" s="69"/>
      <c r="I109" s="68"/>
      <c r="J109" s="68"/>
      <c r="K109" s="68"/>
      <c r="L109" s="68"/>
      <c r="M109" s="70"/>
      <c r="N109" s="70"/>
      <c r="O109" s="70"/>
      <c r="P109" s="70"/>
      <c r="Q109" s="70"/>
      <c r="R109" s="70"/>
      <c r="S109" s="70"/>
      <c r="T109" s="70"/>
    </row>
    <row r="110">
      <c r="A110" s="87">
        <v>46002.0</v>
      </c>
      <c r="B110" s="80">
        <v>2834.36</v>
      </c>
      <c r="C110" s="80">
        <v>1233.14</v>
      </c>
      <c r="D110" s="80">
        <v>682.77</v>
      </c>
      <c r="E110" s="80">
        <v>4750.27</v>
      </c>
      <c r="F110" s="88">
        <v>1.14</v>
      </c>
      <c r="G110" s="80" t="s">
        <v>108</v>
      </c>
      <c r="H110" s="69"/>
      <c r="I110" s="68"/>
      <c r="J110" s="68"/>
      <c r="K110" s="68"/>
      <c r="L110" s="68"/>
      <c r="M110" s="70"/>
      <c r="N110" s="70"/>
      <c r="O110" s="70"/>
      <c r="P110" s="70"/>
      <c r="Q110" s="70"/>
      <c r="R110" s="70"/>
      <c r="S110" s="70"/>
      <c r="T110" s="70"/>
    </row>
    <row r="111">
      <c r="A111" s="87">
        <v>46003.0</v>
      </c>
      <c r="B111" s="80">
        <v>2714.06</v>
      </c>
      <c r="C111" s="80">
        <v>1237.34</v>
      </c>
      <c r="D111" s="80">
        <v>810.55</v>
      </c>
      <c r="E111" s="80">
        <v>4761.95</v>
      </c>
      <c r="F111" s="88">
        <v>1.15</v>
      </c>
      <c r="G111" s="80" t="s">
        <v>108</v>
      </c>
      <c r="H111" s="69"/>
      <c r="I111" s="68"/>
      <c r="J111" s="68"/>
      <c r="K111" s="68"/>
      <c r="L111" s="68"/>
      <c r="M111" s="70"/>
      <c r="N111" s="70"/>
      <c r="O111" s="70"/>
      <c r="P111" s="70"/>
      <c r="Q111" s="70"/>
      <c r="R111" s="70"/>
      <c r="S111" s="70"/>
      <c r="T111" s="70"/>
    </row>
    <row r="112">
      <c r="A112" s="87">
        <v>46004.0</v>
      </c>
      <c r="B112" s="80">
        <v>2714.06</v>
      </c>
      <c r="C112" s="80">
        <v>1237.34</v>
      </c>
      <c r="D112" s="80">
        <v>810.55</v>
      </c>
      <c r="E112" s="80">
        <v>4761.95</v>
      </c>
      <c r="F112" s="88">
        <v>1.15</v>
      </c>
      <c r="G112" s="80" t="s">
        <v>108</v>
      </c>
      <c r="H112" s="69"/>
      <c r="I112" s="68"/>
      <c r="J112" s="68"/>
      <c r="K112" s="68"/>
      <c r="L112" s="68"/>
      <c r="M112" s="70"/>
      <c r="N112" s="70"/>
      <c r="O112" s="70"/>
      <c r="P112" s="70"/>
      <c r="Q112" s="70"/>
      <c r="R112" s="70"/>
      <c r="S112" s="70"/>
      <c r="T112" s="70"/>
    </row>
    <row r="113">
      <c r="A113" s="87">
        <v>46005.0</v>
      </c>
      <c r="B113" s="80">
        <v>2714.06</v>
      </c>
      <c r="C113" s="80">
        <v>1237.34</v>
      </c>
      <c r="D113" s="80">
        <v>810.55</v>
      </c>
      <c r="E113" s="80">
        <v>4761.95</v>
      </c>
      <c r="F113" s="88">
        <v>1.15</v>
      </c>
      <c r="G113" s="80" t="s">
        <v>108</v>
      </c>
      <c r="H113" s="69"/>
      <c r="I113" s="68"/>
      <c r="J113" s="68"/>
      <c r="K113" s="68"/>
      <c r="L113" s="68"/>
      <c r="M113" s="70"/>
      <c r="N113" s="70"/>
      <c r="O113" s="70"/>
      <c r="P113" s="70"/>
      <c r="Q113" s="70"/>
      <c r="R113" s="70"/>
      <c r="S113" s="70"/>
      <c r="T113" s="70"/>
    </row>
    <row r="114">
      <c r="A114" s="87">
        <v>46006.0</v>
      </c>
      <c r="B114" s="80">
        <v>2353.14</v>
      </c>
      <c r="C114" s="80">
        <v>1239.24</v>
      </c>
      <c r="D114" s="80">
        <v>1205.65</v>
      </c>
      <c r="E114" s="80">
        <v>4798.03</v>
      </c>
      <c r="F114" s="88">
        <v>1.15</v>
      </c>
      <c r="G114" s="80" t="s">
        <v>108</v>
      </c>
      <c r="H114" s="69"/>
      <c r="I114" s="68"/>
      <c r="J114" s="68"/>
      <c r="K114" s="68"/>
      <c r="L114" s="68"/>
      <c r="M114" s="70"/>
      <c r="N114" s="70"/>
      <c r="O114" s="70"/>
      <c r="P114" s="70"/>
      <c r="Q114" s="70"/>
      <c r="R114" s="70"/>
      <c r="S114" s="70"/>
      <c r="T114" s="70"/>
    </row>
    <row r="115">
      <c r="A115" s="87">
        <v>46007.0</v>
      </c>
      <c r="B115" s="80">
        <v>2232.83</v>
      </c>
      <c r="C115" s="80">
        <v>1238.6</v>
      </c>
      <c r="D115" s="80">
        <v>1344.65</v>
      </c>
      <c r="E115" s="80">
        <v>4816.08</v>
      </c>
      <c r="F115" s="88">
        <v>1.16</v>
      </c>
      <c r="G115" s="80" t="s">
        <v>108</v>
      </c>
      <c r="H115" s="69"/>
      <c r="I115" s="68"/>
      <c r="J115" s="68"/>
      <c r="K115" s="68"/>
      <c r="L115" s="68"/>
      <c r="M115" s="70"/>
      <c r="N115" s="70"/>
      <c r="O115" s="70"/>
      <c r="P115" s="70"/>
      <c r="Q115" s="70"/>
      <c r="R115" s="70"/>
      <c r="S115" s="70"/>
      <c r="T115" s="70"/>
    </row>
    <row r="116">
      <c r="A116" s="87">
        <v>46008.0</v>
      </c>
      <c r="B116" s="80">
        <v>2112.53</v>
      </c>
      <c r="C116" s="80">
        <v>1250.98</v>
      </c>
      <c r="D116" s="80">
        <v>1452.71</v>
      </c>
      <c r="E116" s="80">
        <v>4816.22</v>
      </c>
      <c r="F116" s="88">
        <v>1.16</v>
      </c>
      <c r="G116" s="80" t="s">
        <v>108</v>
      </c>
      <c r="H116" s="69"/>
      <c r="I116" s="68"/>
      <c r="J116" s="68"/>
      <c r="K116" s="68"/>
      <c r="L116" s="68"/>
      <c r="M116" s="70"/>
      <c r="N116" s="70"/>
      <c r="O116" s="70"/>
      <c r="P116" s="70"/>
      <c r="Q116" s="70"/>
      <c r="R116" s="70"/>
      <c r="S116" s="70"/>
      <c r="T116" s="70"/>
    </row>
    <row r="117">
      <c r="A117" s="87">
        <v>46009.0</v>
      </c>
      <c r="B117" s="80">
        <v>1992.22</v>
      </c>
      <c r="C117" s="80">
        <v>1248.67</v>
      </c>
      <c r="D117" s="80">
        <v>1599.93</v>
      </c>
      <c r="E117" s="80">
        <v>4840.82</v>
      </c>
      <c r="F117" s="88">
        <v>1.16</v>
      </c>
      <c r="G117" s="80" t="s">
        <v>108</v>
      </c>
      <c r="H117" s="69"/>
      <c r="I117" s="68"/>
      <c r="J117" s="68"/>
      <c r="K117" s="68"/>
      <c r="L117" s="68"/>
      <c r="M117" s="70"/>
      <c r="N117" s="70"/>
      <c r="O117" s="70"/>
      <c r="P117" s="70"/>
      <c r="Q117" s="70"/>
      <c r="R117" s="70"/>
      <c r="S117" s="70"/>
      <c r="T117" s="70"/>
    </row>
    <row r="118">
      <c r="A118" s="87">
        <v>46010.0</v>
      </c>
      <c r="B118" s="80">
        <v>1871.91</v>
      </c>
      <c r="C118" s="80">
        <v>1254.98</v>
      </c>
      <c r="D118" s="80">
        <v>1736.82</v>
      </c>
      <c r="E118" s="80">
        <v>4863.71</v>
      </c>
      <c r="F118" s="88">
        <v>1.17</v>
      </c>
      <c r="G118" s="80" t="s">
        <v>108</v>
      </c>
      <c r="H118" s="69"/>
      <c r="I118" s="68"/>
      <c r="J118" s="68"/>
      <c r="K118" s="68"/>
      <c r="L118" s="68"/>
      <c r="M118" s="70"/>
      <c r="N118" s="70"/>
      <c r="O118" s="70"/>
      <c r="P118" s="70"/>
      <c r="Q118" s="70"/>
      <c r="R118" s="70"/>
      <c r="S118" s="70"/>
      <c r="T118" s="70"/>
    </row>
    <row r="119">
      <c r="A119" s="87">
        <v>46011.0</v>
      </c>
      <c r="B119" s="80">
        <v>1871.91</v>
      </c>
      <c r="C119" s="80">
        <v>1254.98</v>
      </c>
      <c r="D119" s="80">
        <v>1736.82</v>
      </c>
      <c r="E119" s="80">
        <v>4863.71</v>
      </c>
      <c r="F119" s="88">
        <v>1.17</v>
      </c>
      <c r="G119" s="80" t="s">
        <v>108</v>
      </c>
      <c r="H119" s="69"/>
      <c r="I119" s="68"/>
      <c r="J119" s="68"/>
      <c r="K119" s="68"/>
      <c r="L119" s="68"/>
      <c r="M119" s="70"/>
      <c r="N119" s="70"/>
      <c r="O119" s="70"/>
      <c r="P119" s="70"/>
      <c r="Q119" s="70"/>
      <c r="R119" s="70"/>
      <c r="S119" s="70"/>
      <c r="T119" s="70"/>
    </row>
    <row r="120">
      <c r="A120" s="87">
        <v>46012.0</v>
      </c>
      <c r="B120" s="80">
        <v>1871.91</v>
      </c>
      <c r="C120" s="80">
        <v>1254.98</v>
      </c>
      <c r="D120" s="80">
        <v>1736.82</v>
      </c>
      <c r="E120" s="80">
        <v>4863.71</v>
      </c>
      <c r="F120" s="88">
        <v>1.17</v>
      </c>
      <c r="G120" s="80" t="s">
        <v>108</v>
      </c>
      <c r="H120" s="69"/>
      <c r="I120" s="68"/>
      <c r="J120" s="68"/>
      <c r="K120" s="68"/>
      <c r="L120" s="68"/>
      <c r="M120" s="70"/>
      <c r="N120" s="70"/>
      <c r="O120" s="70"/>
      <c r="P120" s="70"/>
      <c r="Q120" s="70"/>
      <c r="R120" s="70"/>
      <c r="S120" s="70"/>
      <c r="T120" s="70"/>
    </row>
    <row r="121">
      <c r="A121" s="87">
        <v>46013.0</v>
      </c>
      <c r="B121" s="80">
        <v>1511.0</v>
      </c>
      <c r="C121" s="80">
        <v>1278.92</v>
      </c>
      <c r="D121" s="80">
        <v>2139.82</v>
      </c>
      <c r="E121" s="80">
        <v>4929.74</v>
      </c>
      <c r="F121" s="88">
        <v>1.19</v>
      </c>
      <c r="G121" s="80" t="s">
        <v>108</v>
      </c>
      <c r="H121" s="69"/>
      <c r="I121" s="68"/>
      <c r="J121" s="68"/>
      <c r="K121" s="68"/>
      <c r="L121" s="68"/>
      <c r="M121" s="70"/>
      <c r="N121" s="70"/>
      <c r="O121" s="70"/>
      <c r="P121" s="70"/>
      <c r="Q121" s="70"/>
      <c r="R121" s="70"/>
      <c r="S121" s="70"/>
      <c r="T121" s="70"/>
    </row>
    <row r="122">
      <c r="A122" s="87">
        <v>46014.0</v>
      </c>
      <c r="B122" s="80">
        <v>1390.69</v>
      </c>
      <c r="C122" s="80">
        <v>1289.91</v>
      </c>
      <c r="D122" s="80">
        <v>2275.2</v>
      </c>
      <c r="E122" s="80">
        <v>4955.8</v>
      </c>
      <c r="F122" s="88">
        <v>1.19</v>
      </c>
      <c r="G122" s="80" t="s">
        <v>108</v>
      </c>
      <c r="H122" s="69"/>
      <c r="I122" s="68"/>
      <c r="J122" s="68"/>
      <c r="K122" s="68"/>
      <c r="L122" s="68"/>
      <c r="M122" s="70"/>
      <c r="N122" s="70"/>
      <c r="O122" s="70"/>
      <c r="P122" s="70"/>
      <c r="Q122" s="70"/>
      <c r="R122" s="70"/>
      <c r="S122" s="70"/>
      <c r="T122" s="70"/>
    </row>
    <row r="123">
      <c r="A123" s="87">
        <v>46015.0</v>
      </c>
      <c r="B123" s="80">
        <v>1270.38</v>
      </c>
      <c r="C123" s="80">
        <v>1289.27</v>
      </c>
      <c r="D123" s="80">
        <v>2409.18</v>
      </c>
      <c r="E123" s="80">
        <v>4968.83</v>
      </c>
      <c r="F123" s="88">
        <v>1.2</v>
      </c>
      <c r="G123" s="80" t="s">
        <v>108</v>
      </c>
      <c r="H123" s="69"/>
      <c r="I123" s="68"/>
      <c r="J123" s="68"/>
      <c r="K123" s="68"/>
      <c r="L123" s="68"/>
      <c r="M123" s="70"/>
      <c r="N123" s="70"/>
      <c r="O123" s="70"/>
      <c r="P123" s="70"/>
      <c r="Q123" s="70"/>
      <c r="R123" s="70"/>
      <c r="S123" s="70"/>
      <c r="T123" s="70"/>
    </row>
    <row r="124">
      <c r="A124" s="87">
        <v>46016.0</v>
      </c>
      <c r="B124" s="80">
        <v>1150.08</v>
      </c>
      <c r="C124" s="80">
        <v>1289.27</v>
      </c>
      <c r="D124" s="80">
        <v>2541.22</v>
      </c>
      <c r="E124" s="80">
        <v>4980.57</v>
      </c>
      <c r="F124" s="88">
        <v>1.2</v>
      </c>
      <c r="G124" s="80" t="s">
        <v>108</v>
      </c>
      <c r="H124" s="69"/>
      <c r="I124" s="68"/>
      <c r="J124" s="68"/>
      <c r="K124" s="68"/>
      <c r="L124" s="68"/>
      <c r="M124" s="70"/>
      <c r="N124" s="70"/>
      <c r="O124" s="70"/>
      <c r="P124" s="70"/>
      <c r="Q124" s="70"/>
      <c r="R124" s="70"/>
      <c r="S124" s="70"/>
      <c r="T124" s="70"/>
    </row>
    <row r="125">
      <c r="A125" s="87">
        <v>46017.0</v>
      </c>
      <c r="B125" s="80">
        <v>1029.77</v>
      </c>
      <c r="C125" s="80">
        <v>1303.23</v>
      </c>
      <c r="D125" s="80">
        <v>2664.67</v>
      </c>
      <c r="E125" s="80">
        <v>4997.67</v>
      </c>
      <c r="F125" s="88">
        <v>1.2</v>
      </c>
      <c r="G125" s="80" t="s">
        <v>108</v>
      </c>
      <c r="H125" s="69"/>
      <c r="I125" s="68"/>
      <c r="J125" s="68"/>
      <c r="K125" s="68"/>
      <c r="L125" s="68"/>
      <c r="M125" s="70"/>
      <c r="N125" s="70"/>
      <c r="O125" s="70"/>
      <c r="P125" s="70"/>
      <c r="Q125" s="70"/>
      <c r="R125" s="70"/>
      <c r="S125" s="70"/>
      <c r="T125" s="70"/>
    </row>
    <row r="126">
      <c r="A126" s="87">
        <v>46018.0</v>
      </c>
      <c r="B126" s="80">
        <v>1029.77</v>
      </c>
      <c r="C126" s="80">
        <v>1303.23</v>
      </c>
      <c r="D126" s="80">
        <v>2664.67</v>
      </c>
      <c r="E126" s="80">
        <v>4997.67</v>
      </c>
      <c r="F126" s="88">
        <v>1.2</v>
      </c>
      <c r="G126" s="80" t="s">
        <v>108</v>
      </c>
      <c r="H126" s="69"/>
      <c r="I126" s="68"/>
      <c r="J126" s="68"/>
      <c r="K126" s="68"/>
      <c r="L126" s="68"/>
      <c r="M126" s="70"/>
      <c r="N126" s="70"/>
      <c r="O126" s="70"/>
      <c r="P126" s="70"/>
      <c r="Q126" s="70"/>
      <c r="R126" s="70"/>
      <c r="S126" s="70"/>
      <c r="T126" s="70"/>
    </row>
    <row r="127">
      <c r="A127" s="87">
        <v>46019.0</v>
      </c>
      <c r="B127" s="80">
        <v>1029.77</v>
      </c>
      <c r="C127" s="80">
        <v>1303.23</v>
      </c>
      <c r="D127" s="80">
        <v>2664.67</v>
      </c>
      <c r="E127" s="80">
        <v>4997.67</v>
      </c>
      <c r="F127" s="88">
        <v>1.2</v>
      </c>
      <c r="G127" s="80" t="s">
        <v>108</v>
      </c>
      <c r="H127" s="69"/>
      <c r="I127" s="68"/>
      <c r="J127" s="68"/>
      <c r="K127" s="68"/>
      <c r="L127" s="68"/>
      <c r="M127" s="70"/>
      <c r="N127" s="70"/>
      <c r="O127" s="70"/>
      <c r="P127" s="70"/>
      <c r="Q127" s="70"/>
      <c r="R127" s="70"/>
      <c r="S127" s="70"/>
      <c r="T127" s="70"/>
    </row>
    <row r="128">
      <c r="A128" s="87">
        <v>46020.0</v>
      </c>
      <c r="B128" s="80">
        <v>668.85</v>
      </c>
      <c r="C128" s="80">
        <v>1244.53</v>
      </c>
      <c r="D128" s="80">
        <v>3035.89</v>
      </c>
      <c r="E128" s="80">
        <v>4949.27</v>
      </c>
      <c r="F128" s="88">
        <v>1.19</v>
      </c>
      <c r="G128" s="80" t="s">
        <v>108</v>
      </c>
      <c r="H128" s="69"/>
      <c r="I128" s="68"/>
      <c r="J128" s="68"/>
      <c r="K128" s="68"/>
      <c r="L128" s="68"/>
      <c r="M128" s="70"/>
      <c r="N128" s="70"/>
      <c r="O128" s="70"/>
      <c r="P128" s="70"/>
      <c r="Q128" s="70"/>
      <c r="R128" s="70"/>
      <c r="S128" s="70"/>
      <c r="T128" s="70"/>
    </row>
    <row r="129">
      <c r="A129" s="87">
        <v>46021.0</v>
      </c>
      <c r="B129" s="80">
        <v>548.55</v>
      </c>
      <c r="C129" s="80">
        <v>1257.48</v>
      </c>
      <c r="D129" s="80">
        <v>3157.62</v>
      </c>
      <c r="E129" s="80">
        <v>4963.65</v>
      </c>
      <c r="F129" s="88">
        <v>1.19</v>
      </c>
      <c r="G129" s="80" t="s">
        <v>108</v>
      </c>
      <c r="H129" s="69"/>
      <c r="I129" s="68"/>
      <c r="J129" s="68"/>
      <c r="K129" s="68"/>
      <c r="L129" s="68"/>
      <c r="M129" s="70"/>
      <c r="N129" s="70"/>
      <c r="O129" s="70"/>
      <c r="P129" s="70"/>
      <c r="Q129" s="70"/>
      <c r="R129" s="70"/>
      <c r="S129" s="70"/>
      <c r="T129" s="70"/>
    </row>
    <row r="130">
      <c r="A130" s="87">
        <v>46022.0</v>
      </c>
      <c r="B130" s="80">
        <v>428.24</v>
      </c>
      <c r="C130" s="80">
        <v>1244.67</v>
      </c>
      <c r="D130" s="80">
        <v>3272.61</v>
      </c>
      <c r="E130" s="80">
        <v>4945.52</v>
      </c>
      <c r="F130" s="88">
        <v>1.19</v>
      </c>
      <c r="G130" s="80" t="s">
        <v>108</v>
      </c>
      <c r="H130" s="69"/>
      <c r="I130" s="68"/>
      <c r="J130" s="68"/>
      <c r="K130" s="68"/>
      <c r="L130" s="68"/>
      <c r="M130" s="70"/>
      <c r="N130" s="70"/>
      <c r="O130" s="70"/>
      <c r="P130" s="70"/>
      <c r="Q130" s="70"/>
      <c r="R130" s="70"/>
      <c r="S130" s="70"/>
      <c r="T130" s="70"/>
    </row>
    <row r="131">
      <c r="A131" s="87">
        <v>46023.0</v>
      </c>
      <c r="B131" s="80">
        <v>428.24</v>
      </c>
      <c r="C131" s="80">
        <v>1244.67</v>
      </c>
      <c r="D131" s="80">
        <v>3272.61</v>
      </c>
      <c r="E131" s="80">
        <v>4945.52</v>
      </c>
      <c r="F131" s="88">
        <v>1.19</v>
      </c>
      <c r="G131" s="80" t="s">
        <v>108</v>
      </c>
      <c r="H131" s="69"/>
      <c r="I131" s="68"/>
      <c r="J131" s="68"/>
      <c r="K131" s="68"/>
      <c r="L131" s="68"/>
      <c r="M131" s="70"/>
      <c r="N131" s="70"/>
      <c r="O131" s="70"/>
      <c r="P131" s="70"/>
      <c r="Q131" s="70"/>
      <c r="R131" s="70"/>
      <c r="S131" s="70"/>
      <c r="T131" s="70"/>
    </row>
    <row r="132">
      <c r="A132" s="87">
        <v>46024.0</v>
      </c>
      <c r="B132" s="80">
        <v>428.24</v>
      </c>
      <c r="C132" s="80">
        <v>1241.45</v>
      </c>
      <c r="D132" s="80">
        <v>3258.45</v>
      </c>
      <c r="E132" s="80">
        <v>4928.14</v>
      </c>
      <c r="F132" s="88">
        <v>1.19</v>
      </c>
      <c r="G132" s="80" t="s">
        <v>108</v>
      </c>
      <c r="H132" s="69"/>
      <c r="I132" s="68"/>
      <c r="J132" s="68"/>
      <c r="K132" s="68"/>
      <c r="L132" s="68"/>
      <c r="M132" s="70"/>
      <c r="N132" s="70"/>
      <c r="O132" s="70"/>
      <c r="P132" s="70"/>
      <c r="Q132" s="70"/>
      <c r="R132" s="70"/>
      <c r="S132" s="70"/>
      <c r="T132" s="70"/>
    </row>
    <row r="133">
      <c r="A133" s="87">
        <v>46025.0</v>
      </c>
      <c r="B133" s="80">
        <v>428.24</v>
      </c>
      <c r="C133" s="80">
        <v>1241.45</v>
      </c>
      <c r="D133" s="80">
        <v>3258.45</v>
      </c>
      <c r="E133" s="80">
        <v>4928.14</v>
      </c>
      <c r="F133" s="88">
        <v>1.19</v>
      </c>
      <c r="G133" s="80" t="s">
        <v>108</v>
      </c>
      <c r="H133" s="69"/>
      <c r="I133" s="68"/>
      <c r="J133" s="68"/>
      <c r="K133" s="68"/>
      <c r="L133" s="68"/>
      <c r="M133" s="70"/>
      <c r="N133" s="70"/>
      <c r="O133" s="70"/>
      <c r="P133" s="70"/>
      <c r="Q133" s="70"/>
      <c r="R133" s="70"/>
      <c r="S133" s="70"/>
      <c r="T133" s="70"/>
    </row>
    <row r="134">
      <c r="A134" s="87">
        <v>46026.0</v>
      </c>
      <c r="B134" s="80">
        <v>428.24</v>
      </c>
      <c r="C134" s="80">
        <v>1241.45</v>
      </c>
      <c r="D134" s="80">
        <v>3258.45</v>
      </c>
      <c r="E134" s="80">
        <v>4928.14</v>
      </c>
      <c r="F134" s="88">
        <v>1.19</v>
      </c>
      <c r="G134" s="80" t="s">
        <v>108</v>
      </c>
      <c r="H134" s="69"/>
      <c r="I134" s="68"/>
      <c r="J134" s="68"/>
      <c r="K134" s="68"/>
      <c r="L134" s="68"/>
      <c r="M134" s="70"/>
      <c r="N134" s="70"/>
      <c r="O134" s="70"/>
      <c r="P134" s="70"/>
      <c r="Q134" s="70"/>
      <c r="R134" s="70"/>
      <c r="S134" s="70"/>
      <c r="T134" s="70"/>
    </row>
    <row r="135">
      <c r="A135" s="87">
        <v>46027.0</v>
      </c>
      <c r="B135" s="80">
        <v>428.24</v>
      </c>
      <c r="C135" s="80">
        <v>1276.7</v>
      </c>
      <c r="D135" s="80">
        <v>3283.17</v>
      </c>
      <c r="E135" s="80">
        <v>4988.11</v>
      </c>
      <c r="F135" s="88">
        <v>1.2</v>
      </c>
      <c r="G135" s="80" t="s">
        <v>108</v>
      </c>
      <c r="H135" s="69"/>
      <c r="I135" s="68"/>
      <c r="J135" s="68"/>
      <c r="K135" s="68"/>
      <c r="L135" s="68"/>
      <c r="M135" s="70"/>
      <c r="N135" s="70"/>
      <c r="O135" s="70"/>
      <c r="P135" s="70"/>
      <c r="Q135" s="70"/>
      <c r="R135" s="70"/>
      <c r="S135" s="70"/>
      <c r="T135" s="70"/>
    </row>
    <row r="136">
      <c r="A136" s="87">
        <v>46028.0</v>
      </c>
      <c r="B136" s="80">
        <v>428.24</v>
      </c>
      <c r="C136" s="80">
        <v>1289.74</v>
      </c>
      <c r="D136" s="80">
        <v>3269.16</v>
      </c>
      <c r="E136" s="80">
        <v>4987.14</v>
      </c>
      <c r="F136" s="88">
        <v>1.2</v>
      </c>
      <c r="G136" s="80" t="s">
        <v>108</v>
      </c>
      <c r="H136" s="69"/>
      <c r="I136" s="68"/>
      <c r="J136" s="68"/>
      <c r="K136" s="68"/>
      <c r="L136" s="68"/>
      <c r="M136" s="70"/>
      <c r="N136" s="70"/>
      <c r="O136" s="70"/>
      <c r="P136" s="70"/>
      <c r="Q136" s="70"/>
      <c r="R136" s="70"/>
      <c r="S136" s="70"/>
      <c r="T136" s="70"/>
    </row>
    <row r="137">
      <c r="A137" s="87">
        <v>46029.0</v>
      </c>
      <c r="B137" s="80">
        <v>428.24</v>
      </c>
      <c r="C137" s="80">
        <v>1280.27</v>
      </c>
      <c r="D137" s="80">
        <v>3269.82</v>
      </c>
      <c r="E137" s="80">
        <v>4978.33</v>
      </c>
      <c r="F137" s="88">
        <v>1.2</v>
      </c>
      <c r="G137" s="80" t="s">
        <v>108</v>
      </c>
      <c r="H137" s="69"/>
      <c r="I137" s="68"/>
      <c r="J137" s="68"/>
      <c r="K137" s="68"/>
      <c r="L137" s="68"/>
      <c r="M137" s="70"/>
      <c r="N137" s="70"/>
      <c r="O137" s="70"/>
      <c r="P137" s="70"/>
      <c r="Q137" s="70"/>
      <c r="R137" s="70"/>
      <c r="S137" s="70"/>
      <c r="T137" s="70"/>
    </row>
    <row r="138">
      <c r="A138" s="87">
        <v>46030.0</v>
      </c>
      <c r="B138" s="80">
        <v>428.24</v>
      </c>
      <c r="C138" s="80">
        <v>1280.38</v>
      </c>
      <c r="D138" s="80">
        <v>3266.21</v>
      </c>
      <c r="E138" s="80">
        <v>4974.83</v>
      </c>
      <c r="F138" s="88">
        <v>1.2</v>
      </c>
      <c r="G138" s="80" t="s">
        <v>108</v>
      </c>
      <c r="H138" s="69"/>
      <c r="I138" s="68"/>
      <c r="J138" s="68"/>
      <c r="K138" s="68"/>
      <c r="L138" s="68"/>
      <c r="M138" s="70"/>
      <c r="N138" s="70"/>
      <c r="O138" s="70"/>
      <c r="P138" s="70"/>
      <c r="Q138" s="70"/>
      <c r="R138" s="70"/>
      <c r="S138" s="70"/>
      <c r="T138" s="70"/>
    </row>
    <row r="139">
      <c r="A139" s="87">
        <v>46031.0</v>
      </c>
      <c r="B139" s="80">
        <v>428.24</v>
      </c>
      <c r="C139" s="80">
        <v>1292.07</v>
      </c>
      <c r="D139" s="80">
        <v>3288.38</v>
      </c>
      <c r="E139" s="80">
        <v>5008.69</v>
      </c>
      <c r="F139" s="88">
        <v>1.2</v>
      </c>
      <c r="G139" s="80" t="s">
        <v>108</v>
      </c>
      <c r="H139" s="69"/>
      <c r="I139" s="68"/>
      <c r="J139" s="68"/>
      <c r="K139" s="68"/>
      <c r="L139" s="68"/>
      <c r="M139" s="70"/>
      <c r="N139" s="70"/>
      <c r="O139" s="70"/>
      <c r="P139" s="70"/>
      <c r="Q139" s="70"/>
      <c r="R139" s="70"/>
      <c r="S139" s="70"/>
      <c r="T139" s="70"/>
    </row>
    <row r="140">
      <c r="A140" s="87">
        <v>46032.0</v>
      </c>
      <c r="B140" s="80">
        <v>428.24</v>
      </c>
      <c r="C140" s="80">
        <v>1292.07</v>
      </c>
      <c r="D140" s="80">
        <v>3288.38</v>
      </c>
      <c r="E140" s="80">
        <v>5008.69</v>
      </c>
      <c r="F140" s="88">
        <v>1.2</v>
      </c>
      <c r="G140" s="80" t="s">
        <v>108</v>
      </c>
      <c r="H140" s="69"/>
      <c r="I140" s="68"/>
      <c r="J140" s="68"/>
      <c r="K140" s="68"/>
      <c r="L140" s="68"/>
      <c r="M140" s="70"/>
      <c r="N140" s="70"/>
      <c r="O140" s="70"/>
      <c r="P140" s="70"/>
      <c r="Q140" s="70"/>
      <c r="R140" s="70"/>
      <c r="S140" s="70"/>
      <c r="T140" s="70"/>
    </row>
    <row r="141">
      <c r="A141" s="87">
        <v>46033.0</v>
      </c>
      <c r="B141" s="80">
        <v>428.24</v>
      </c>
      <c r="C141" s="80">
        <v>1292.07</v>
      </c>
      <c r="D141" s="80">
        <v>3288.38</v>
      </c>
      <c r="E141" s="80">
        <v>5008.69</v>
      </c>
      <c r="F141" s="88">
        <v>1.2</v>
      </c>
      <c r="G141" s="80" t="s">
        <v>108</v>
      </c>
      <c r="H141" s="69"/>
      <c r="I141" s="68"/>
      <c r="J141" s="68"/>
      <c r="K141" s="68"/>
      <c r="L141" s="68"/>
      <c r="M141" s="70"/>
      <c r="N141" s="70"/>
      <c r="O141" s="70"/>
      <c r="P141" s="70"/>
      <c r="Q141" s="70"/>
      <c r="R141" s="70"/>
      <c r="S141" s="70"/>
      <c r="T141" s="70"/>
    </row>
    <row r="142">
      <c r="A142" s="87">
        <v>46034.0</v>
      </c>
      <c r="B142" s="80">
        <v>428.24</v>
      </c>
      <c r="C142" s="80">
        <v>1324.87</v>
      </c>
      <c r="D142" s="80">
        <v>3294.48</v>
      </c>
      <c r="E142" s="80">
        <v>5047.59</v>
      </c>
      <c r="F142" s="88">
        <v>1.21</v>
      </c>
      <c r="G142" s="80" t="s">
        <v>108</v>
      </c>
      <c r="H142" s="69"/>
      <c r="I142" s="68"/>
      <c r="J142" s="68"/>
      <c r="K142" s="68"/>
      <c r="L142" s="68"/>
      <c r="M142" s="70"/>
      <c r="N142" s="70"/>
      <c r="O142" s="70"/>
      <c r="P142" s="70"/>
      <c r="Q142" s="70"/>
      <c r="R142" s="70"/>
      <c r="S142" s="70"/>
      <c r="T142" s="70"/>
    </row>
    <row r="143">
      <c r="A143" s="87">
        <v>46035.0</v>
      </c>
      <c r="B143" s="80">
        <v>428.24</v>
      </c>
      <c r="C143" s="80">
        <v>1320.52</v>
      </c>
      <c r="D143" s="80">
        <v>3291.5</v>
      </c>
      <c r="E143" s="80">
        <v>5040.26</v>
      </c>
      <c r="F143" s="88">
        <v>1.21</v>
      </c>
      <c r="G143" s="80" t="s">
        <v>108</v>
      </c>
      <c r="H143" s="69"/>
      <c r="I143" s="68"/>
      <c r="J143" s="68"/>
      <c r="K143" s="68"/>
      <c r="L143" s="68"/>
      <c r="M143" s="70"/>
      <c r="N143" s="70"/>
      <c r="O143" s="70"/>
      <c r="P143" s="70"/>
      <c r="Q143" s="70"/>
      <c r="R143" s="70"/>
      <c r="S143" s="70"/>
      <c r="T143" s="70"/>
    </row>
    <row r="144">
      <c r="A144" s="87">
        <v>46036.0</v>
      </c>
      <c r="B144" s="80">
        <v>428.24</v>
      </c>
      <c r="C144" s="80">
        <v>1331.2</v>
      </c>
      <c r="D144" s="80">
        <v>3268.3</v>
      </c>
      <c r="E144" s="80">
        <v>5027.74</v>
      </c>
      <c r="F144" s="88">
        <v>1.21</v>
      </c>
      <c r="G144" s="80" t="s">
        <v>108</v>
      </c>
      <c r="H144" s="69"/>
      <c r="I144" s="68"/>
      <c r="J144" s="68"/>
      <c r="K144" s="68"/>
      <c r="L144" s="68"/>
      <c r="M144" s="70"/>
      <c r="N144" s="70"/>
      <c r="O144" s="70"/>
      <c r="P144" s="70"/>
      <c r="Q144" s="70"/>
      <c r="R144" s="70"/>
      <c r="S144" s="70"/>
      <c r="T144" s="70"/>
    </row>
    <row r="145">
      <c r="A145" s="87">
        <v>46037.0</v>
      </c>
      <c r="B145" s="80">
        <v>428.24</v>
      </c>
      <c r="C145" s="80">
        <v>1328.32</v>
      </c>
      <c r="D145" s="80">
        <v>3274.41</v>
      </c>
      <c r="E145" s="80">
        <v>5030.97</v>
      </c>
      <c r="F145" s="88">
        <v>1.21</v>
      </c>
      <c r="G145" s="80" t="s">
        <v>108</v>
      </c>
      <c r="H145" s="69"/>
      <c r="I145" s="68"/>
      <c r="J145" s="68"/>
      <c r="K145" s="68"/>
      <c r="L145" s="68"/>
      <c r="M145" s="70"/>
      <c r="N145" s="70"/>
      <c r="O145" s="70"/>
      <c r="P145" s="70"/>
      <c r="Q145" s="70"/>
      <c r="R145" s="70"/>
      <c r="S145" s="70"/>
      <c r="T145" s="70"/>
    </row>
    <row r="146">
      <c r="A146" s="87">
        <v>46038.0</v>
      </c>
      <c r="B146" s="80">
        <v>428.24</v>
      </c>
      <c r="C146" s="80">
        <v>1320.29</v>
      </c>
      <c r="D146" s="80">
        <v>3272.2</v>
      </c>
      <c r="E146" s="80">
        <v>5020.73</v>
      </c>
      <c r="F146" s="88">
        <v>1.21</v>
      </c>
      <c r="G146" s="80" t="s">
        <v>108</v>
      </c>
      <c r="H146" s="69"/>
      <c r="I146" s="68"/>
      <c r="J146" s="68"/>
      <c r="K146" s="68"/>
      <c r="L146" s="68"/>
      <c r="M146" s="70"/>
      <c r="N146" s="70"/>
      <c r="O146" s="70"/>
      <c r="P146" s="70"/>
      <c r="Q146" s="70"/>
      <c r="R146" s="70"/>
      <c r="S146" s="70"/>
      <c r="T146" s="70"/>
    </row>
    <row r="147">
      <c r="A147" s="87">
        <v>46039.0</v>
      </c>
      <c r="B147" s="80">
        <v>428.24</v>
      </c>
      <c r="C147" s="80">
        <v>1320.29</v>
      </c>
      <c r="D147" s="80">
        <v>3272.2</v>
      </c>
      <c r="E147" s="80">
        <v>5020.73</v>
      </c>
      <c r="F147" s="88">
        <v>1.21</v>
      </c>
      <c r="G147" s="80" t="s">
        <v>108</v>
      </c>
      <c r="H147" s="69"/>
      <c r="I147" s="68"/>
      <c r="J147" s="68"/>
      <c r="K147" s="68"/>
      <c r="L147" s="68"/>
      <c r="M147" s="70"/>
      <c r="N147" s="70"/>
      <c r="O147" s="70"/>
      <c r="P147" s="70"/>
      <c r="Q147" s="70"/>
      <c r="R147" s="70"/>
      <c r="S147" s="70"/>
      <c r="T147" s="70"/>
    </row>
    <row r="148">
      <c r="A148" s="87">
        <v>46040.0</v>
      </c>
      <c r="B148" s="80">
        <v>428.24</v>
      </c>
      <c r="C148" s="80">
        <v>1320.29</v>
      </c>
      <c r="D148" s="80">
        <v>3272.2</v>
      </c>
      <c r="E148" s="80">
        <v>5020.73</v>
      </c>
      <c r="F148" s="88">
        <v>1.21</v>
      </c>
      <c r="G148" s="80" t="s">
        <v>108</v>
      </c>
      <c r="H148" s="69"/>
      <c r="I148" s="68"/>
      <c r="J148" s="68"/>
      <c r="K148" s="68"/>
      <c r="L148" s="68"/>
      <c r="M148" s="70"/>
      <c r="N148" s="70"/>
      <c r="O148" s="70"/>
      <c r="P148" s="70"/>
      <c r="Q148" s="70"/>
      <c r="R148" s="70"/>
      <c r="S148" s="70"/>
      <c r="T148" s="70"/>
    </row>
    <row r="149">
      <c r="A149" s="87">
        <v>46041.0</v>
      </c>
      <c r="B149" s="80">
        <v>428.24</v>
      </c>
      <c r="C149" s="80">
        <v>1320.29</v>
      </c>
      <c r="D149" s="80">
        <v>3272.2</v>
      </c>
      <c r="E149" s="80">
        <v>5020.73</v>
      </c>
      <c r="F149" s="88">
        <v>1.21</v>
      </c>
      <c r="G149" s="80" t="s">
        <v>108</v>
      </c>
      <c r="H149" s="69"/>
      <c r="I149" s="68"/>
      <c r="J149" s="68"/>
      <c r="K149" s="68"/>
      <c r="L149" s="68"/>
      <c r="M149" s="70"/>
      <c r="N149" s="70"/>
      <c r="O149" s="70"/>
      <c r="P149" s="70"/>
      <c r="Q149" s="70"/>
      <c r="R149" s="70"/>
      <c r="S149" s="70"/>
      <c r="T149" s="70"/>
    </row>
    <row r="150">
      <c r="A150" s="87">
        <v>46042.0</v>
      </c>
      <c r="B150" s="80">
        <v>428.24</v>
      </c>
      <c r="C150" s="80">
        <v>1369.56</v>
      </c>
      <c r="D150" s="80">
        <v>3220.98</v>
      </c>
      <c r="E150" s="80">
        <v>5018.78</v>
      </c>
      <c r="F150" s="88">
        <v>1.21</v>
      </c>
      <c r="G150" s="80" t="s">
        <v>108</v>
      </c>
      <c r="H150" s="69"/>
      <c r="I150" s="68"/>
      <c r="J150" s="68"/>
      <c r="K150" s="68"/>
      <c r="L150" s="68"/>
      <c r="M150" s="70"/>
      <c r="N150" s="70"/>
      <c r="O150" s="70"/>
      <c r="P150" s="70"/>
      <c r="Q150" s="70"/>
      <c r="R150" s="70"/>
      <c r="S150" s="70"/>
      <c r="T150" s="70"/>
    </row>
    <row r="151">
      <c r="A151" s="87">
        <v>46043.0</v>
      </c>
      <c r="B151" s="80">
        <v>428.24</v>
      </c>
      <c r="C151" s="80">
        <v>1390.33</v>
      </c>
      <c r="D151" s="80">
        <v>3254.01</v>
      </c>
      <c r="E151" s="80">
        <v>5072.58</v>
      </c>
      <c r="F151" s="88">
        <v>1.22</v>
      </c>
      <c r="G151" s="80" t="s">
        <v>108</v>
      </c>
      <c r="H151" s="69"/>
      <c r="I151" s="68"/>
      <c r="J151" s="68"/>
      <c r="K151" s="68"/>
      <c r="L151" s="68"/>
      <c r="M151" s="70"/>
      <c r="N151" s="70"/>
      <c r="O151" s="70"/>
      <c r="P151" s="70"/>
      <c r="Q151" s="70"/>
      <c r="R151" s="70"/>
      <c r="S151" s="70"/>
      <c r="T151" s="70"/>
    </row>
    <row r="152">
      <c r="A152" s="87">
        <v>46044.0</v>
      </c>
      <c r="B152" s="80">
        <v>428.24</v>
      </c>
      <c r="C152" s="80">
        <v>1412.49</v>
      </c>
      <c r="D152" s="80">
        <v>3285.15</v>
      </c>
      <c r="E152" s="80">
        <v>5125.88</v>
      </c>
      <c r="F152" s="88">
        <v>1.23</v>
      </c>
      <c r="G152" s="80" t="s">
        <v>108</v>
      </c>
      <c r="H152" s="69"/>
      <c r="I152" s="68"/>
      <c r="J152" s="68"/>
      <c r="K152" s="68"/>
      <c r="L152" s="68"/>
      <c r="M152" s="70"/>
      <c r="N152" s="70"/>
      <c r="O152" s="70"/>
      <c r="P152" s="70"/>
      <c r="Q152" s="70"/>
      <c r="R152" s="70"/>
      <c r="S152" s="70"/>
      <c r="T152" s="70"/>
    </row>
    <row r="153">
      <c r="A153" s="87">
        <v>46045.0</v>
      </c>
      <c r="B153" s="80">
        <v>428.24</v>
      </c>
      <c r="C153" s="80">
        <v>1431.88</v>
      </c>
      <c r="D153" s="80">
        <v>3290.71</v>
      </c>
      <c r="E153" s="80">
        <v>5150.83</v>
      </c>
      <c r="F153" s="88">
        <v>1.24</v>
      </c>
      <c r="G153" s="80" t="s">
        <v>108</v>
      </c>
      <c r="H153" s="69"/>
      <c r="I153" s="68"/>
      <c r="J153" s="68"/>
      <c r="K153" s="68"/>
      <c r="L153" s="68"/>
      <c r="M153" s="70"/>
      <c r="N153" s="70"/>
      <c r="O153" s="70"/>
      <c r="P153" s="70"/>
      <c r="Q153" s="70"/>
      <c r="R153" s="70"/>
      <c r="S153" s="70"/>
      <c r="T153" s="70"/>
    </row>
    <row r="154">
      <c r="A154" s="87">
        <v>46046.0</v>
      </c>
      <c r="B154" s="80">
        <v>428.24</v>
      </c>
      <c r="C154" s="80">
        <v>1431.88</v>
      </c>
      <c r="D154" s="80">
        <v>3290.71</v>
      </c>
      <c r="E154" s="80">
        <v>5150.83</v>
      </c>
      <c r="F154" s="88">
        <v>1.24</v>
      </c>
      <c r="G154" s="80" t="s">
        <v>108</v>
      </c>
      <c r="H154" s="69"/>
      <c r="I154" s="68"/>
      <c r="J154" s="68"/>
      <c r="K154" s="68"/>
      <c r="L154" s="68"/>
      <c r="M154" s="70"/>
      <c r="N154" s="70"/>
      <c r="O154" s="70"/>
      <c r="P154" s="70"/>
      <c r="Q154" s="70"/>
      <c r="R154" s="70"/>
      <c r="S154" s="70"/>
      <c r="T154" s="70"/>
    </row>
    <row r="155">
      <c r="A155" s="87">
        <v>46047.0</v>
      </c>
      <c r="B155" s="80">
        <v>428.24</v>
      </c>
      <c r="C155" s="80">
        <v>1431.88</v>
      </c>
      <c r="D155" s="80">
        <v>3290.71</v>
      </c>
      <c r="E155" s="80">
        <v>5150.83</v>
      </c>
      <c r="F155" s="88">
        <v>1.24</v>
      </c>
      <c r="G155" s="80" t="s">
        <v>108</v>
      </c>
      <c r="H155" s="69"/>
      <c r="I155" s="68"/>
      <c r="J155" s="68"/>
      <c r="K155" s="68"/>
      <c r="L155" s="68"/>
      <c r="M155" s="70"/>
      <c r="N155" s="70"/>
      <c r="O155" s="70"/>
      <c r="P155" s="70"/>
      <c r="Q155" s="70"/>
      <c r="R155" s="70"/>
      <c r="S155" s="70"/>
      <c r="T155" s="70"/>
    </row>
    <row r="156">
      <c r="A156" s="87">
        <v>46048.0</v>
      </c>
      <c r="B156" s="80">
        <v>428.24</v>
      </c>
      <c r="C156" s="80">
        <v>1461.66</v>
      </c>
      <c r="D156" s="80">
        <v>3277.75</v>
      </c>
      <c r="E156" s="80">
        <v>5167.65</v>
      </c>
      <c r="F156" s="88">
        <v>1.24</v>
      </c>
      <c r="G156" s="80" t="s">
        <v>108</v>
      </c>
      <c r="H156" s="69"/>
      <c r="I156" s="68"/>
      <c r="J156" s="68"/>
      <c r="K156" s="68"/>
      <c r="L156" s="68"/>
      <c r="M156" s="70"/>
      <c r="N156" s="70"/>
      <c r="O156" s="70"/>
      <c r="P156" s="70"/>
      <c r="Q156" s="70"/>
      <c r="R156" s="70"/>
      <c r="S156" s="70"/>
      <c r="T156" s="70"/>
    </row>
    <row r="157">
      <c r="A157" s="87">
        <v>46049.0</v>
      </c>
      <c r="B157" s="80">
        <v>428.24</v>
      </c>
      <c r="C157" s="80">
        <v>1461.72</v>
      </c>
      <c r="D157" s="80">
        <v>3283.81</v>
      </c>
      <c r="E157" s="80">
        <v>5173.77</v>
      </c>
      <c r="F157" s="88">
        <v>1.24</v>
      </c>
      <c r="G157" s="80" t="s">
        <v>108</v>
      </c>
      <c r="H157" s="69"/>
      <c r="I157" s="68"/>
      <c r="J157" s="68"/>
      <c r="K157" s="68"/>
      <c r="L157" s="68"/>
      <c r="M157" s="70"/>
      <c r="N157" s="70"/>
      <c r="O157" s="70"/>
      <c r="P157" s="70"/>
      <c r="Q157" s="70"/>
      <c r="R157" s="70"/>
      <c r="S157" s="70"/>
      <c r="T157" s="70"/>
    </row>
    <row r="158">
      <c r="A158" s="87">
        <v>46050.0</v>
      </c>
      <c r="B158" s="80">
        <v>428.24</v>
      </c>
      <c r="C158" s="80">
        <v>1525.51</v>
      </c>
      <c r="D158" s="80">
        <v>3290.62</v>
      </c>
      <c r="E158" s="80">
        <v>5244.37</v>
      </c>
      <c r="F158" s="88">
        <v>1.26</v>
      </c>
      <c r="G158" s="80" t="s">
        <v>108</v>
      </c>
      <c r="H158" s="69"/>
      <c r="I158" s="68"/>
      <c r="J158" s="68"/>
      <c r="K158" s="68"/>
      <c r="L158" s="68"/>
      <c r="M158" s="70"/>
      <c r="N158" s="70"/>
      <c r="O158" s="70"/>
      <c r="P158" s="70"/>
      <c r="Q158" s="70"/>
      <c r="R158" s="70"/>
      <c r="S158" s="70"/>
      <c r="T158" s="70"/>
    </row>
    <row r="159">
      <c r="A159" s="87">
        <v>46051.0</v>
      </c>
      <c r="B159" s="80">
        <v>428.24</v>
      </c>
      <c r="C159" s="80">
        <v>1530.35</v>
      </c>
      <c r="D159" s="80">
        <v>3266.67</v>
      </c>
      <c r="E159" s="80">
        <v>5225.26</v>
      </c>
      <c r="F159" s="88">
        <v>1.26</v>
      </c>
      <c r="G159" s="80" t="s">
        <v>108</v>
      </c>
      <c r="H159" s="69"/>
      <c r="I159" s="68"/>
      <c r="J159" s="68"/>
      <c r="K159" s="68"/>
      <c r="L159" s="68"/>
      <c r="M159" s="70"/>
      <c r="N159" s="70"/>
      <c r="O159" s="70"/>
      <c r="P159" s="70"/>
      <c r="Q159" s="70"/>
      <c r="R159" s="70"/>
      <c r="S159" s="70"/>
      <c r="T159" s="70"/>
    </row>
    <row r="160">
      <c r="A160" s="87">
        <v>46052.0</v>
      </c>
      <c r="B160" s="80">
        <v>428.24</v>
      </c>
      <c r="C160" s="80">
        <v>1356.41</v>
      </c>
      <c r="D160" s="80">
        <v>3269.83</v>
      </c>
      <c r="E160" s="80">
        <v>5054.48</v>
      </c>
      <c r="F160" s="88">
        <v>1.22</v>
      </c>
      <c r="G160" s="80" t="s">
        <v>108</v>
      </c>
      <c r="H160" s="69"/>
      <c r="I160" s="68"/>
      <c r="J160" s="68"/>
      <c r="K160" s="68"/>
      <c r="L160" s="68"/>
      <c r="M160" s="70"/>
      <c r="N160" s="70"/>
      <c r="O160" s="70"/>
      <c r="P160" s="70"/>
      <c r="Q160" s="70"/>
      <c r="R160" s="70"/>
      <c r="S160" s="70"/>
      <c r="T160" s="70"/>
    </row>
    <row r="161">
      <c r="A161" s="87">
        <v>46053.0</v>
      </c>
      <c r="B161" s="80">
        <v>428.24</v>
      </c>
      <c r="C161" s="80">
        <v>1356.41</v>
      </c>
      <c r="D161" s="80">
        <v>3269.83</v>
      </c>
      <c r="E161" s="80">
        <v>5054.48</v>
      </c>
      <c r="F161" s="88">
        <v>1.22</v>
      </c>
      <c r="G161" s="80" t="s">
        <v>108</v>
      </c>
      <c r="H161" s="69"/>
      <c r="I161" s="68"/>
      <c r="J161" s="68"/>
      <c r="K161" s="68"/>
      <c r="L161" s="68"/>
      <c r="M161" s="70"/>
      <c r="N161" s="70"/>
      <c r="O161" s="70"/>
      <c r="P161" s="70"/>
      <c r="Q161" s="70"/>
      <c r="R161" s="70"/>
      <c r="S161" s="70"/>
      <c r="T161" s="70"/>
    </row>
    <row r="162">
      <c r="A162" s="87">
        <v>46054.0</v>
      </c>
      <c r="B162" s="80">
        <v>428.24</v>
      </c>
      <c r="C162" s="80">
        <v>1356.41</v>
      </c>
      <c r="D162" s="80">
        <v>3269.83</v>
      </c>
      <c r="E162" s="80">
        <v>5054.48</v>
      </c>
      <c r="F162" s="88">
        <v>1.22</v>
      </c>
      <c r="G162" s="80" t="s">
        <v>109</v>
      </c>
      <c r="H162" s="69"/>
      <c r="I162" s="68"/>
      <c r="J162" s="68"/>
      <c r="K162" s="68"/>
      <c r="L162" s="68"/>
      <c r="M162" s="70"/>
      <c r="N162" s="70"/>
      <c r="O162" s="70"/>
      <c r="P162" s="70"/>
      <c r="Q162" s="70"/>
      <c r="R162" s="70"/>
      <c r="S162" s="70"/>
      <c r="T162" s="70"/>
    </row>
    <row r="163">
      <c r="A163" s="87">
        <v>46055.0</v>
      </c>
      <c r="B163" s="80">
        <v>428.24</v>
      </c>
      <c r="C163" s="80">
        <v>1330.11</v>
      </c>
      <c r="D163" s="80">
        <v>3258.1</v>
      </c>
      <c r="E163" s="80">
        <v>5016.45</v>
      </c>
      <c r="F163" s="88">
        <v>1.21</v>
      </c>
      <c r="G163" s="80" t="s">
        <v>110</v>
      </c>
      <c r="H163" s="69"/>
      <c r="I163" s="68"/>
      <c r="J163" s="68"/>
      <c r="K163" s="68"/>
      <c r="L163" s="68"/>
      <c r="M163" s="70"/>
      <c r="N163" s="70"/>
      <c r="O163" s="70"/>
      <c r="P163" s="70"/>
      <c r="Q163" s="70"/>
      <c r="R163" s="70"/>
      <c r="S163" s="70"/>
      <c r="T163" s="70"/>
    </row>
    <row r="164">
      <c r="A164" s="87">
        <v>46056.0</v>
      </c>
      <c r="B164" s="80">
        <v>428.24</v>
      </c>
      <c r="C164" s="80">
        <v>1411.02</v>
      </c>
      <c r="D164" s="80">
        <v>3238.05</v>
      </c>
      <c r="E164" s="80">
        <v>5077.31</v>
      </c>
      <c r="F164" s="88">
        <v>1.22</v>
      </c>
      <c r="G164" s="80" t="s">
        <v>111</v>
      </c>
      <c r="H164" s="69"/>
      <c r="I164" s="68"/>
      <c r="J164" s="68"/>
      <c r="K164" s="68"/>
      <c r="L164" s="68"/>
      <c r="M164" s="70"/>
      <c r="N164" s="70"/>
      <c r="O164" s="70"/>
      <c r="P164" s="70"/>
      <c r="Q164" s="70"/>
      <c r="R164" s="70"/>
      <c r="S164" s="70"/>
      <c r="T164" s="70"/>
    </row>
    <row r="165">
      <c r="A165" s="87">
        <v>46057.0</v>
      </c>
      <c r="B165" s="80">
        <v>428.24</v>
      </c>
      <c r="C165" s="80">
        <v>1415.83</v>
      </c>
      <c r="D165" s="80">
        <v>3195.48</v>
      </c>
      <c r="E165" s="80">
        <v>5039.55</v>
      </c>
      <c r="F165" s="88">
        <v>1.21</v>
      </c>
      <c r="G165" s="80" t="s">
        <v>112</v>
      </c>
      <c r="H165" s="69"/>
      <c r="I165" s="68"/>
      <c r="J165" s="68"/>
      <c r="K165" s="68"/>
      <c r="L165" s="68"/>
      <c r="M165" s="70"/>
      <c r="N165" s="70"/>
      <c r="O165" s="70"/>
      <c r="P165" s="70"/>
      <c r="Q165" s="70"/>
      <c r="R165" s="70"/>
      <c r="S165" s="70"/>
      <c r="T165" s="70"/>
    </row>
    <row r="166">
      <c r="A166" s="87">
        <v>46058.0</v>
      </c>
      <c r="B166" s="80">
        <v>428.24</v>
      </c>
      <c r="C166" s="80">
        <v>1398.85</v>
      </c>
      <c r="D166" s="80">
        <v>3167.89</v>
      </c>
      <c r="E166" s="80">
        <v>4994.98</v>
      </c>
      <c r="F166" s="88">
        <v>1.2</v>
      </c>
      <c r="G166" s="80" t="s">
        <v>113</v>
      </c>
      <c r="H166" s="69"/>
      <c r="I166" s="68"/>
      <c r="J166" s="68"/>
      <c r="K166" s="68"/>
      <c r="L166" s="68"/>
      <c r="M166" s="70"/>
      <c r="N166" s="70"/>
      <c r="O166" s="70"/>
      <c r="P166" s="70"/>
      <c r="Q166" s="70"/>
      <c r="R166" s="70"/>
      <c r="S166" s="70"/>
      <c r="T166" s="70"/>
    </row>
    <row r="167">
      <c r="A167" s="87">
        <v>46059.0</v>
      </c>
      <c r="B167" s="80">
        <v>428.24</v>
      </c>
      <c r="C167" s="80">
        <v>1424.69</v>
      </c>
      <c r="D167" s="80">
        <v>3217.18</v>
      </c>
      <c r="E167" s="80">
        <v>5070.11</v>
      </c>
      <c r="F167" s="88">
        <v>1.22</v>
      </c>
      <c r="G167" s="80" t="s">
        <v>114</v>
      </c>
      <c r="H167" s="69"/>
      <c r="I167" s="68"/>
      <c r="J167" s="68"/>
      <c r="K167" s="68"/>
      <c r="L167" s="68"/>
      <c r="M167" s="70"/>
      <c r="N167" s="70"/>
      <c r="O167" s="70"/>
      <c r="P167" s="70"/>
      <c r="Q167" s="70"/>
      <c r="R167" s="70"/>
      <c r="S167" s="70"/>
      <c r="T167" s="70"/>
    </row>
    <row r="168">
      <c r="A168" s="87">
        <v>46060.0</v>
      </c>
      <c r="B168" s="80">
        <v>428.24</v>
      </c>
      <c r="C168" s="80">
        <v>1424.69</v>
      </c>
      <c r="D168" s="80">
        <v>3217.18</v>
      </c>
      <c r="E168" s="80">
        <v>5070.11</v>
      </c>
      <c r="F168" s="88">
        <v>1.22</v>
      </c>
      <c r="G168" s="80" t="s">
        <v>114</v>
      </c>
      <c r="H168" s="69"/>
      <c r="I168" s="68"/>
      <c r="J168" s="68"/>
      <c r="K168" s="68"/>
      <c r="L168" s="68"/>
      <c r="M168" s="70"/>
      <c r="N168" s="70"/>
      <c r="O168" s="70"/>
      <c r="P168" s="70"/>
      <c r="Q168" s="70"/>
      <c r="R168" s="70"/>
      <c r="S168" s="70"/>
      <c r="T168" s="70"/>
    </row>
    <row r="169">
      <c r="A169" s="87">
        <v>46061.0</v>
      </c>
      <c r="B169" s="80">
        <v>428.24</v>
      </c>
      <c r="C169" s="80">
        <v>1424.69</v>
      </c>
      <c r="D169" s="80">
        <v>3217.18</v>
      </c>
      <c r="E169" s="80">
        <v>5070.11</v>
      </c>
      <c r="F169" s="88">
        <v>1.22</v>
      </c>
      <c r="G169" s="80" t="s">
        <v>114</v>
      </c>
      <c r="H169" s="69"/>
      <c r="I169" s="68"/>
      <c r="J169" s="68"/>
      <c r="K169" s="68"/>
      <c r="L169" s="68"/>
      <c r="M169" s="70"/>
      <c r="N169" s="70"/>
      <c r="O169" s="70"/>
      <c r="P169" s="70"/>
      <c r="Q169" s="70"/>
      <c r="R169" s="70"/>
      <c r="S169" s="70"/>
      <c r="T169" s="70"/>
    </row>
    <row r="170">
      <c r="A170" s="87">
        <v>46062.0</v>
      </c>
      <c r="B170" s="80">
        <v>428.24</v>
      </c>
      <c r="C170" s="80">
        <v>1453.38</v>
      </c>
      <c r="D170" s="80">
        <v>3236.58</v>
      </c>
      <c r="E170" s="80">
        <v>5118.2</v>
      </c>
      <c r="F170" s="88">
        <v>1.23</v>
      </c>
      <c r="G170" s="80" t="s">
        <v>115</v>
      </c>
      <c r="H170" s="69"/>
      <c r="I170" s="68"/>
      <c r="J170" s="68"/>
      <c r="K170" s="68"/>
      <c r="L170" s="68"/>
      <c r="M170" s="70"/>
      <c r="N170" s="89"/>
      <c r="O170" s="90"/>
      <c r="P170" s="90"/>
      <c r="Q170" s="90"/>
      <c r="R170" s="90"/>
      <c r="S170" s="90"/>
      <c r="T170" s="70"/>
    </row>
    <row r="171">
      <c r="A171" s="87">
        <v>46063.0</v>
      </c>
      <c r="B171" s="80">
        <v>428.24</v>
      </c>
      <c r="C171" s="80">
        <v>1439.82</v>
      </c>
      <c r="D171" s="80">
        <v>3240.36</v>
      </c>
      <c r="E171" s="80">
        <v>5108.42</v>
      </c>
      <c r="F171" s="88">
        <v>1.23</v>
      </c>
      <c r="G171" s="80" t="s">
        <v>116</v>
      </c>
      <c r="H171" s="69"/>
      <c r="I171" s="68"/>
      <c r="J171" s="68"/>
      <c r="K171" s="68"/>
      <c r="L171" s="68"/>
      <c r="M171" s="70"/>
      <c r="N171" s="89"/>
      <c r="O171" s="90"/>
      <c r="P171" s="90"/>
      <c r="Q171" s="90"/>
      <c r="R171" s="90"/>
      <c r="S171" s="90"/>
      <c r="T171" s="70"/>
    </row>
    <row r="172">
      <c r="A172" s="87">
        <v>46064.0</v>
      </c>
      <c r="B172" s="80">
        <v>428.24</v>
      </c>
      <c r="C172" s="80">
        <v>1459.33</v>
      </c>
      <c r="D172" s="80">
        <v>3248.06</v>
      </c>
      <c r="E172" s="80">
        <v>5135.63</v>
      </c>
      <c r="F172" s="88">
        <v>1.24</v>
      </c>
      <c r="G172" s="80" t="s">
        <v>117</v>
      </c>
      <c r="H172" s="69"/>
      <c r="I172" s="68"/>
      <c r="J172" s="68"/>
      <c r="K172" s="68"/>
      <c r="L172" s="68"/>
      <c r="M172" s="70"/>
      <c r="N172" s="89"/>
      <c r="O172" s="90"/>
      <c r="P172" s="90"/>
      <c r="Q172" s="90"/>
      <c r="R172" s="90"/>
      <c r="S172" s="90"/>
      <c r="T172" s="70"/>
    </row>
    <row r="173">
      <c r="A173" s="87">
        <v>46065.0</v>
      </c>
      <c r="B173" s="80">
        <v>428.24</v>
      </c>
      <c r="C173" s="80">
        <v>1416.77</v>
      </c>
      <c r="D173" s="80">
        <v>3210.75</v>
      </c>
      <c r="E173" s="80">
        <v>5055.76</v>
      </c>
      <c r="F173" s="88">
        <v>1.22</v>
      </c>
      <c r="G173" s="80" t="s">
        <v>118</v>
      </c>
      <c r="H173" s="69"/>
      <c r="I173" s="68"/>
      <c r="J173" s="68"/>
      <c r="K173" s="68"/>
      <c r="L173" s="68"/>
      <c r="M173" s="70"/>
      <c r="N173" s="89"/>
      <c r="O173" s="90"/>
      <c r="P173" s="90"/>
      <c r="Q173" s="90"/>
      <c r="R173" s="90"/>
      <c r="S173" s="90"/>
      <c r="T173" s="70"/>
    </row>
    <row r="174">
      <c r="A174" s="87">
        <v>46066.0</v>
      </c>
      <c r="B174" s="80">
        <v>428.24</v>
      </c>
      <c r="C174" s="80">
        <v>1445.06</v>
      </c>
      <c r="D174" s="80">
        <v>3211.0</v>
      </c>
      <c r="E174" s="80">
        <v>5084.3</v>
      </c>
      <c r="F174" s="88">
        <v>1.22</v>
      </c>
      <c r="G174" s="80" t="s">
        <v>119</v>
      </c>
      <c r="H174" s="69"/>
      <c r="I174" s="68"/>
      <c r="J174" s="68"/>
      <c r="K174" s="68"/>
      <c r="L174" s="68"/>
      <c r="M174" s="70"/>
      <c r="N174" s="89"/>
      <c r="O174" s="90"/>
      <c r="P174" s="90"/>
      <c r="Q174" s="90"/>
      <c r="R174" s="90"/>
      <c r="S174" s="90"/>
      <c r="T174" s="70"/>
    </row>
    <row r="175">
      <c r="A175" s="87">
        <v>46067.0</v>
      </c>
      <c r="B175" s="80">
        <v>428.24</v>
      </c>
      <c r="C175" s="80">
        <v>1445.06</v>
      </c>
      <c r="D175" s="80">
        <v>3211.0</v>
      </c>
      <c r="E175" s="80">
        <v>5084.3</v>
      </c>
      <c r="F175" s="88">
        <v>1.22</v>
      </c>
      <c r="G175" s="80" t="s">
        <v>119</v>
      </c>
      <c r="H175" s="69"/>
      <c r="I175" s="68"/>
      <c r="J175" s="68"/>
      <c r="K175" s="68"/>
      <c r="L175" s="68"/>
      <c r="M175" s="70"/>
      <c r="N175" s="89"/>
      <c r="O175" s="90"/>
      <c r="P175" s="90"/>
      <c r="Q175" s="90"/>
      <c r="R175" s="90"/>
      <c r="S175" s="90"/>
      <c r="T175" s="70"/>
    </row>
    <row r="176">
      <c r="A176" s="87">
        <v>46068.0</v>
      </c>
      <c r="B176" s="80">
        <v>428.24</v>
      </c>
      <c r="C176" s="80">
        <v>1445.06</v>
      </c>
      <c r="D176" s="80">
        <v>3211.0</v>
      </c>
      <c r="E176" s="80">
        <v>5084.3</v>
      </c>
      <c r="F176" s="88">
        <v>1.22</v>
      </c>
      <c r="G176" s="80" t="s">
        <v>119</v>
      </c>
      <c r="H176" s="69"/>
      <c r="I176" s="68"/>
      <c r="J176" s="68"/>
      <c r="K176" s="68"/>
      <c r="L176" s="68"/>
      <c r="M176" s="70"/>
      <c r="N176" s="89"/>
      <c r="O176" s="90"/>
      <c r="P176" s="90"/>
      <c r="Q176" s="90"/>
      <c r="R176" s="90"/>
      <c r="S176" s="90"/>
      <c r="T176" s="70"/>
    </row>
    <row r="177">
      <c r="A177" s="87">
        <v>46069.0</v>
      </c>
      <c r="B177" s="80">
        <v>428.24</v>
      </c>
      <c r="C177" s="80">
        <v>1445.06</v>
      </c>
      <c r="D177" s="80">
        <v>3211.0</v>
      </c>
      <c r="E177" s="80">
        <v>5084.3</v>
      </c>
      <c r="F177" s="88">
        <v>1.22</v>
      </c>
      <c r="G177" s="80" t="s">
        <v>119</v>
      </c>
      <c r="H177" s="69"/>
      <c r="I177" s="68"/>
      <c r="J177" s="68"/>
      <c r="K177" s="68"/>
      <c r="L177" s="68"/>
      <c r="M177" s="70"/>
      <c r="N177" s="89"/>
      <c r="O177" s="90"/>
      <c r="P177" s="90"/>
      <c r="Q177" s="90"/>
      <c r="R177" s="90"/>
      <c r="S177" s="90"/>
      <c r="T177" s="70"/>
    </row>
    <row r="178">
      <c r="A178" s="87">
        <v>46070.0</v>
      </c>
      <c r="B178" s="80">
        <v>428.24</v>
      </c>
      <c r="C178" s="80">
        <v>1405.03</v>
      </c>
      <c r="D178" s="80">
        <v>3203.16</v>
      </c>
      <c r="E178" s="80">
        <v>5036.43</v>
      </c>
      <c r="F178" s="88">
        <v>1.21</v>
      </c>
      <c r="G178" s="80" t="s">
        <v>119</v>
      </c>
      <c r="H178" s="69"/>
      <c r="I178" s="68"/>
      <c r="J178" s="68"/>
      <c r="K178" s="68"/>
      <c r="L178" s="68"/>
      <c r="M178" s="70"/>
      <c r="N178" s="89"/>
      <c r="O178" s="90"/>
      <c r="P178" s="90"/>
      <c r="Q178" s="90"/>
      <c r="R178" s="90"/>
      <c r="S178" s="90"/>
      <c r="T178" s="70"/>
    </row>
    <row r="179">
      <c r="A179" s="87">
        <v>46071.0</v>
      </c>
      <c r="B179" s="80">
        <v>428.24</v>
      </c>
      <c r="C179" s="80">
        <v>1434.85</v>
      </c>
      <c r="D179" s="80">
        <v>3214.3</v>
      </c>
      <c r="E179" s="80">
        <v>5077.39</v>
      </c>
      <c r="F179" s="88">
        <v>1.22</v>
      </c>
      <c r="G179" s="80" t="s">
        <v>119</v>
      </c>
      <c r="H179" s="69"/>
      <c r="I179" s="68"/>
      <c r="J179" s="68"/>
      <c r="K179" s="68"/>
      <c r="L179" s="68"/>
      <c r="M179" s="70"/>
      <c r="N179" s="89"/>
      <c r="O179" s="90"/>
      <c r="P179" s="90"/>
      <c r="Q179" s="90"/>
      <c r="R179" s="90"/>
      <c r="S179" s="90"/>
      <c r="T179" s="70"/>
    </row>
    <row r="180">
      <c r="A180" s="87">
        <v>46072.0</v>
      </c>
      <c r="B180" s="80">
        <v>571.73</v>
      </c>
      <c r="C180" s="80">
        <v>1431.8</v>
      </c>
      <c r="D180" s="80">
        <v>3210.85</v>
      </c>
      <c r="E180" s="80">
        <v>5214.38</v>
      </c>
      <c r="F180" s="88">
        <v>1.25</v>
      </c>
      <c r="G180" s="80" t="s">
        <v>119</v>
      </c>
      <c r="H180" s="69"/>
      <c r="I180" s="68"/>
      <c r="J180" s="68"/>
      <c r="K180" s="68"/>
      <c r="L180" s="68"/>
      <c r="M180" s="70"/>
      <c r="N180" s="89"/>
      <c r="O180" s="90"/>
      <c r="P180" s="90"/>
      <c r="Q180" s="90"/>
      <c r="R180" s="90"/>
      <c r="S180" s="90"/>
      <c r="T180" s="70"/>
    </row>
    <row r="181">
      <c r="A181" s="87">
        <v>46073.0</v>
      </c>
      <c r="B181" s="80">
        <v>571.73</v>
      </c>
      <c r="C181" s="80">
        <v>1455.79</v>
      </c>
      <c r="D181" s="80">
        <v>3221.95</v>
      </c>
      <c r="E181" s="80">
        <v>5249.47</v>
      </c>
      <c r="F181" s="88">
        <v>1.26</v>
      </c>
      <c r="G181" s="80" t="s">
        <v>119</v>
      </c>
      <c r="H181" s="69"/>
      <c r="I181" s="68"/>
      <c r="J181" s="68"/>
      <c r="K181" s="68"/>
      <c r="L181" s="68"/>
      <c r="M181" s="70"/>
      <c r="N181" s="70"/>
      <c r="O181" s="70"/>
      <c r="P181" s="70"/>
      <c r="Q181" s="70"/>
      <c r="R181" s="70"/>
      <c r="S181" s="70"/>
      <c r="T181" s="70"/>
    </row>
    <row r="182">
      <c r="A182" s="87">
        <v>46074.0</v>
      </c>
      <c r="B182" s="80">
        <v>571.73</v>
      </c>
      <c r="C182" s="80">
        <v>1455.79</v>
      </c>
      <c r="D182" s="80">
        <v>3221.95</v>
      </c>
      <c r="E182" s="80">
        <v>5249.47</v>
      </c>
      <c r="F182" s="88">
        <v>1.26</v>
      </c>
      <c r="G182" s="80" t="s">
        <v>119</v>
      </c>
      <c r="H182" s="69"/>
      <c r="I182" s="68"/>
      <c r="J182" s="68"/>
      <c r="K182" s="68"/>
      <c r="L182" s="68"/>
      <c r="M182" s="70"/>
      <c r="N182" s="70"/>
      <c r="O182" s="70"/>
      <c r="P182" s="70"/>
      <c r="Q182" s="70"/>
      <c r="R182" s="70"/>
      <c r="S182" s="70"/>
      <c r="T182" s="70"/>
    </row>
    <row r="183">
      <c r="A183" s="87">
        <v>46075.0</v>
      </c>
      <c r="B183" s="80">
        <v>571.73</v>
      </c>
      <c r="C183" s="80">
        <v>1491.44</v>
      </c>
      <c r="D183" s="80">
        <v>3221.95</v>
      </c>
      <c r="E183" s="80">
        <v>5285.12</v>
      </c>
      <c r="F183" s="88">
        <v>1.27</v>
      </c>
      <c r="G183" s="80" t="s">
        <v>119</v>
      </c>
      <c r="H183" s="69"/>
      <c r="I183" s="68"/>
      <c r="J183" s="68"/>
      <c r="K183" s="68"/>
      <c r="L183" s="68"/>
      <c r="M183" s="70"/>
      <c r="N183" s="70"/>
      <c r="O183" s="70"/>
      <c r="P183" s="70"/>
      <c r="Q183" s="70"/>
      <c r="R183" s="70"/>
      <c r="S183" s="70"/>
      <c r="T183" s="70"/>
    </row>
    <row r="184">
      <c r="A184" s="87">
        <v>46076.0</v>
      </c>
      <c r="B184" s="80">
        <v>571.73</v>
      </c>
      <c r="C184" s="80">
        <v>1410.13</v>
      </c>
      <c r="D184" s="80">
        <v>3220.98</v>
      </c>
      <c r="E184" s="80">
        <v>5202.84</v>
      </c>
      <c r="F184" s="88">
        <v>1.25</v>
      </c>
      <c r="G184" s="80" t="s">
        <v>120</v>
      </c>
      <c r="H184" s="69"/>
      <c r="I184" s="68"/>
      <c r="J184" s="68"/>
      <c r="K184" s="68"/>
      <c r="L184" s="68"/>
      <c r="M184" s="70"/>
      <c r="N184" s="70"/>
      <c r="O184" s="70"/>
      <c r="P184" s="70"/>
      <c r="Q184" s="70"/>
      <c r="R184" s="70"/>
      <c r="S184" s="70"/>
      <c r="T184" s="70"/>
    </row>
    <row r="185">
      <c r="A185" s="68"/>
      <c r="B185" s="69"/>
      <c r="C185" s="69"/>
      <c r="D185" s="69"/>
      <c r="E185" s="69"/>
      <c r="F185" s="91"/>
      <c r="G185" s="69"/>
      <c r="H185" s="69"/>
      <c r="I185" s="68"/>
      <c r="J185" s="68"/>
      <c r="K185" s="68"/>
      <c r="L185" s="68"/>
      <c r="M185" s="70"/>
      <c r="N185" s="70"/>
      <c r="O185" s="70"/>
      <c r="P185" s="70"/>
      <c r="Q185" s="70"/>
      <c r="R185" s="70"/>
      <c r="S185" s="70"/>
      <c r="T185" s="70"/>
    </row>
    <row r="186">
      <c r="A186" s="68"/>
      <c r="B186" s="69"/>
      <c r="C186" s="69"/>
      <c r="D186" s="69"/>
      <c r="E186" s="69"/>
      <c r="F186" s="91"/>
      <c r="G186" s="69"/>
      <c r="H186" s="69"/>
      <c r="I186" s="68"/>
      <c r="J186" s="68"/>
      <c r="K186" s="68"/>
      <c r="L186" s="68"/>
      <c r="M186" s="70"/>
      <c r="N186" s="70"/>
      <c r="O186" s="70"/>
      <c r="P186" s="70"/>
      <c r="Q186" s="70"/>
      <c r="R186" s="70"/>
      <c r="S186" s="70"/>
      <c r="T186" s="70"/>
    </row>
    <row r="187">
      <c r="A187" s="68"/>
      <c r="B187" s="69"/>
      <c r="C187" s="69"/>
      <c r="D187" s="69"/>
      <c r="E187" s="69"/>
      <c r="F187" s="91"/>
      <c r="G187" s="69"/>
      <c r="H187" s="69"/>
      <c r="I187" s="68"/>
      <c r="J187" s="68"/>
      <c r="K187" s="68"/>
      <c r="L187" s="68"/>
      <c r="M187" s="70"/>
      <c r="N187" s="70"/>
      <c r="O187" s="70"/>
      <c r="P187" s="70"/>
      <c r="Q187" s="70"/>
      <c r="R187" s="70"/>
      <c r="S187" s="70"/>
      <c r="T187" s="70"/>
    </row>
    <row r="188">
      <c r="A188" s="68"/>
      <c r="B188" s="69"/>
      <c r="C188" s="69"/>
      <c r="D188" s="69"/>
      <c r="E188" s="69"/>
      <c r="F188" s="91"/>
      <c r="G188" s="69"/>
      <c r="H188" s="69"/>
      <c r="I188" s="68"/>
      <c r="J188" s="68"/>
      <c r="K188" s="68"/>
      <c r="L188" s="68"/>
      <c r="M188" s="70"/>
      <c r="N188" s="70"/>
      <c r="O188" s="70"/>
      <c r="P188" s="70"/>
      <c r="Q188" s="70"/>
      <c r="R188" s="70"/>
      <c r="S188" s="70"/>
      <c r="T188" s="70"/>
    </row>
    <row r="189">
      <c r="A189" s="68"/>
      <c r="B189" s="69"/>
      <c r="C189" s="69"/>
      <c r="D189" s="69"/>
      <c r="E189" s="69"/>
      <c r="F189" s="91"/>
      <c r="G189" s="69"/>
      <c r="H189" s="69"/>
      <c r="I189" s="68"/>
      <c r="J189" s="68"/>
      <c r="K189" s="68"/>
      <c r="L189" s="68"/>
      <c r="M189" s="70"/>
      <c r="N189" s="70"/>
      <c r="O189" s="70"/>
      <c r="P189" s="70"/>
      <c r="Q189" s="70"/>
      <c r="R189" s="70"/>
      <c r="S189" s="70"/>
      <c r="T189" s="70"/>
    </row>
    <row r="190">
      <c r="A190" s="68"/>
      <c r="B190" s="69"/>
      <c r="C190" s="69"/>
      <c r="D190" s="69"/>
      <c r="E190" s="69"/>
      <c r="F190" s="91"/>
      <c r="G190" s="69"/>
      <c r="H190" s="69"/>
      <c r="I190" s="68"/>
      <c r="J190" s="68"/>
      <c r="K190" s="68"/>
      <c r="L190" s="68"/>
      <c r="M190" s="70"/>
      <c r="N190" s="70"/>
      <c r="O190" s="70"/>
      <c r="P190" s="70"/>
      <c r="Q190" s="70"/>
      <c r="R190" s="70"/>
      <c r="S190" s="70"/>
      <c r="T190" s="70"/>
    </row>
    <row r="191">
      <c r="A191" s="68"/>
      <c r="B191" s="69"/>
      <c r="C191" s="69"/>
      <c r="D191" s="69"/>
      <c r="E191" s="69"/>
      <c r="F191" s="91"/>
      <c r="G191" s="69"/>
      <c r="H191" s="69"/>
      <c r="I191" s="68"/>
      <c r="J191" s="68"/>
      <c r="K191" s="68"/>
      <c r="L191" s="68"/>
      <c r="M191" s="70"/>
      <c r="N191" s="70"/>
      <c r="O191" s="70"/>
      <c r="P191" s="70"/>
      <c r="Q191" s="70"/>
      <c r="R191" s="70"/>
      <c r="S191" s="70"/>
      <c r="T191" s="70"/>
    </row>
    <row r="192">
      <c r="A192" s="68"/>
      <c r="B192" s="69"/>
      <c r="C192" s="69"/>
      <c r="D192" s="69"/>
      <c r="E192" s="69"/>
      <c r="F192" s="91"/>
      <c r="G192" s="69"/>
      <c r="H192" s="69"/>
      <c r="I192" s="68"/>
      <c r="J192" s="68"/>
      <c r="K192" s="68"/>
      <c r="L192" s="68"/>
      <c r="M192" s="70"/>
      <c r="N192" s="70"/>
      <c r="O192" s="70"/>
      <c r="P192" s="70"/>
      <c r="Q192" s="70"/>
      <c r="R192" s="70"/>
      <c r="S192" s="70"/>
      <c r="T192" s="70"/>
    </row>
    <row r="193">
      <c r="A193" s="68"/>
      <c r="B193" s="69"/>
      <c r="C193" s="69"/>
      <c r="D193" s="69"/>
      <c r="E193" s="69"/>
      <c r="F193" s="91"/>
      <c r="G193" s="69"/>
      <c r="H193" s="69"/>
      <c r="I193" s="68"/>
      <c r="J193" s="68"/>
      <c r="K193" s="68"/>
      <c r="L193" s="68"/>
      <c r="M193" s="70"/>
      <c r="N193" s="70"/>
      <c r="O193" s="70"/>
      <c r="P193" s="70"/>
      <c r="Q193" s="70"/>
      <c r="R193" s="70"/>
      <c r="S193" s="70"/>
      <c r="T193" s="70"/>
    </row>
    <row r="194">
      <c r="A194" s="68"/>
      <c r="B194" s="69"/>
      <c r="C194" s="69"/>
      <c r="D194" s="69"/>
      <c r="E194" s="69"/>
      <c r="F194" s="91"/>
      <c r="G194" s="69"/>
      <c r="H194" s="69"/>
      <c r="I194" s="68"/>
      <c r="J194" s="68"/>
      <c r="K194" s="68"/>
      <c r="L194" s="68"/>
      <c r="M194" s="70"/>
      <c r="N194" s="70"/>
      <c r="O194" s="70"/>
      <c r="P194" s="70"/>
      <c r="Q194" s="70"/>
      <c r="R194" s="70"/>
      <c r="S194" s="70"/>
      <c r="T194" s="70"/>
    </row>
    <row r="195">
      <c r="A195" s="68"/>
      <c r="B195" s="69"/>
      <c r="C195" s="69"/>
      <c r="D195" s="69"/>
      <c r="E195" s="69"/>
      <c r="F195" s="91"/>
      <c r="G195" s="69"/>
      <c r="H195" s="69"/>
      <c r="I195" s="68"/>
      <c r="J195" s="68"/>
      <c r="K195" s="68"/>
      <c r="L195" s="68"/>
      <c r="M195" s="70"/>
      <c r="N195" s="70"/>
      <c r="O195" s="70"/>
      <c r="P195" s="70"/>
      <c r="Q195" s="70"/>
      <c r="R195" s="70"/>
      <c r="S195" s="70"/>
      <c r="T195" s="70"/>
    </row>
    <row r="196">
      <c r="A196" s="68"/>
      <c r="B196" s="69"/>
      <c r="C196" s="69"/>
      <c r="D196" s="69"/>
      <c r="E196" s="69"/>
      <c r="F196" s="91"/>
      <c r="G196" s="69"/>
      <c r="H196" s="69"/>
      <c r="I196" s="68"/>
      <c r="J196" s="68"/>
      <c r="K196" s="68"/>
      <c r="L196" s="68"/>
      <c r="M196" s="70"/>
      <c r="N196" s="70"/>
      <c r="O196" s="70"/>
      <c r="P196" s="70"/>
      <c r="Q196" s="70"/>
      <c r="R196" s="70"/>
      <c r="S196" s="70"/>
      <c r="T196" s="70"/>
    </row>
    <row r="197">
      <c r="A197" s="68"/>
      <c r="B197" s="69"/>
      <c r="C197" s="69"/>
      <c r="D197" s="69"/>
      <c r="E197" s="69"/>
      <c r="F197" s="91"/>
      <c r="G197" s="69"/>
      <c r="H197" s="69"/>
      <c r="I197" s="68"/>
      <c r="J197" s="68"/>
      <c r="K197" s="68"/>
      <c r="L197" s="68"/>
      <c r="M197" s="70"/>
      <c r="N197" s="70"/>
      <c r="O197" s="70"/>
      <c r="P197" s="70"/>
      <c r="Q197" s="70"/>
      <c r="R197" s="70"/>
      <c r="S197" s="70"/>
      <c r="T197" s="70"/>
    </row>
    <row r="198">
      <c r="A198" s="68"/>
      <c r="B198" s="69"/>
      <c r="C198" s="69"/>
      <c r="D198" s="69"/>
      <c r="E198" s="69"/>
      <c r="F198" s="91"/>
      <c r="G198" s="69"/>
      <c r="H198" s="69"/>
      <c r="I198" s="68"/>
      <c r="J198" s="68"/>
      <c r="K198" s="68"/>
      <c r="L198" s="68"/>
      <c r="M198" s="70"/>
      <c r="N198" s="70"/>
      <c r="O198" s="70"/>
      <c r="P198" s="70"/>
      <c r="Q198" s="70"/>
      <c r="R198" s="70"/>
      <c r="S198" s="70"/>
      <c r="T198" s="70"/>
    </row>
    <row r="199">
      <c r="A199" s="68"/>
      <c r="B199" s="69"/>
      <c r="C199" s="69"/>
      <c r="D199" s="69"/>
      <c r="E199" s="69"/>
      <c r="F199" s="91"/>
      <c r="G199" s="69"/>
      <c r="H199" s="69"/>
      <c r="I199" s="68"/>
      <c r="J199" s="68"/>
      <c r="K199" s="68"/>
      <c r="L199" s="68"/>
      <c r="M199" s="70"/>
      <c r="N199" s="70"/>
      <c r="O199" s="70"/>
      <c r="P199" s="70"/>
      <c r="Q199" s="70"/>
      <c r="R199" s="70"/>
      <c r="S199" s="70"/>
      <c r="T199" s="70"/>
    </row>
    <row r="200">
      <c r="A200" s="68"/>
      <c r="B200" s="69"/>
      <c r="C200" s="69"/>
      <c r="D200" s="69"/>
      <c r="E200" s="69"/>
      <c r="F200" s="91"/>
      <c r="G200" s="69"/>
      <c r="H200" s="69"/>
      <c r="I200" s="68"/>
      <c r="J200" s="68"/>
      <c r="K200" s="68"/>
      <c r="L200" s="68"/>
      <c r="M200" s="70"/>
      <c r="N200" s="70"/>
      <c r="O200" s="70"/>
      <c r="P200" s="70"/>
      <c r="Q200" s="70"/>
      <c r="R200" s="70"/>
      <c r="S200" s="70"/>
      <c r="T200" s="70"/>
    </row>
    <row r="201">
      <c r="A201" s="68"/>
      <c r="B201" s="69"/>
      <c r="C201" s="69"/>
      <c r="D201" s="69"/>
      <c r="E201" s="69"/>
      <c r="F201" s="91"/>
      <c r="G201" s="69"/>
      <c r="H201" s="69"/>
      <c r="I201" s="68"/>
      <c r="J201" s="68"/>
      <c r="K201" s="68"/>
      <c r="L201" s="68"/>
      <c r="M201" s="70"/>
      <c r="N201" s="70"/>
      <c r="O201" s="70"/>
      <c r="P201" s="70"/>
      <c r="Q201" s="70"/>
      <c r="R201" s="70"/>
      <c r="S201" s="70"/>
      <c r="T201" s="70"/>
    </row>
    <row r="202">
      <c r="A202" s="68"/>
      <c r="B202" s="69"/>
      <c r="C202" s="69"/>
      <c r="D202" s="69"/>
      <c r="E202" s="69"/>
      <c r="F202" s="91"/>
      <c r="G202" s="69"/>
      <c r="H202" s="69"/>
      <c r="I202" s="68"/>
      <c r="J202" s="68"/>
      <c r="K202" s="68"/>
      <c r="L202" s="68"/>
      <c r="M202" s="70"/>
      <c r="N202" s="70"/>
      <c r="O202" s="70"/>
      <c r="P202" s="70"/>
      <c r="Q202" s="70"/>
      <c r="R202" s="70"/>
      <c r="S202" s="70"/>
      <c r="T202" s="70"/>
    </row>
    <row r="203">
      <c r="A203" s="68"/>
      <c r="B203" s="69"/>
      <c r="C203" s="69"/>
      <c r="D203" s="69"/>
      <c r="E203" s="69"/>
      <c r="F203" s="91"/>
      <c r="G203" s="69"/>
      <c r="H203" s="69"/>
      <c r="I203" s="68"/>
      <c r="J203" s="68"/>
      <c r="K203" s="68"/>
      <c r="L203" s="68"/>
      <c r="M203" s="70"/>
      <c r="N203" s="70"/>
      <c r="O203" s="70"/>
      <c r="P203" s="70"/>
      <c r="Q203" s="70"/>
      <c r="R203" s="70"/>
      <c r="S203" s="70"/>
      <c r="T203" s="70"/>
    </row>
    <row r="204">
      <c r="A204" s="68"/>
      <c r="B204" s="69"/>
      <c r="C204" s="69"/>
      <c r="D204" s="69"/>
      <c r="E204" s="69"/>
      <c r="F204" s="91"/>
      <c r="G204" s="69"/>
      <c r="H204" s="69"/>
      <c r="I204" s="68"/>
      <c r="J204" s="68"/>
      <c r="K204" s="68"/>
      <c r="L204" s="68"/>
      <c r="M204" s="70"/>
      <c r="N204" s="70"/>
      <c r="O204" s="70"/>
      <c r="P204" s="70"/>
      <c r="Q204" s="70"/>
      <c r="R204" s="70"/>
      <c r="S204" s="70"/>
      <c r="T204" s="70"/>
    </row>
    <row r="205">
      <c r="A205" s="68"/>
      <c r="B205" s="69"/>
      <c r="C205" s="69"/>
      <c r="D205" s="69"/>
      <c r="E205" s="69"/>
      <c r="F205" s="91"/>
      <c r="G205" s="69"/>
      <c r="H205" s="69"/>
      <c r="I205" s="68"/>
      <c r="J205" s="68"/>
      <c r="K205" s="68"/>
      <c r="L205" s="68"/>
      <c r="M205" s="70"/>
      <c r="N205" s="70"/>
      <c r="O205" s="70"/>
      <c r="P205" s="70"/>
      <c r="Q205" s="70"/>
      <c r="R205" s="70"/>
      <c r="S205" s="70"/>
      <c r="T205" s="70"/>
    </row>
    <row r="206">
      <c r="A206" s="68"/>
      <c r="B206" s="69"/>
      <c r="C206" s="69"/>
      <c r="D206" s="69"/>
      <c r="E206" s="69"/>
      <c r="F206" s="91"/>
      <c r="G206" s="69"/>
      <c r="H206" s="69"/>
      <c r="I206" s="68"/>
      <c r="J206" s="68"/>
      <c r="K206" s="68"/>
      <c r="L206" s="68"/>
      <c r="M206" s="70"/>
      <c r="N206" s="70"/>
      <c r="O206" s="70"/>
      <c r="P206" s="70"/>
      <c r="Q206" s="70"/>
      <c r="R206" s="70"/>
      <c r="S206" s="70"/>
      <c r="T206" s="70"/>
    </row>
    <row r="207">
      <c r="A207" s="68"/>
      <c r="B207" s="69"/>
      <c r="C207" s="69"/>
      <c r="D207" s="69"/>
      <c r="E207" s="69"/>
      <c r="F207" s="91"/>
      <c r="G207" s="69"/>
      <c r="H207" s="69"/>
      <c r="I207" s="68"/>
      <c r="J207" s="68"/>
      <c r="K207" s="68"/>
      <c r="L207" s="68"/>
      <c r="M207" s="70"/>
      <c r="N207" s="70"/>
      <c r="O207" s="70"/>
      <c r="P207" s="70"/>
      <c r="Q207" s="70"/>
      <c r="R207" s="70"/>
      <c r="S207" s="70"/>
      <c r="T207" s="70"/>
    </row>
    <row r="208">
      <c r="A208" s="68"/>
      <c r="B208" s="69"/>
      <c r="C208" s="69"/>
      <c r="D208" s="69"/>
      <c r="E208" s="69"/>
      <c r="F208" s="91"/>
      <c r="G208" s="69"/>
      <c r="H208" s="69"/>
      <c r="I208" s="68"/>
      <c r="J208" s="68"/>
      <c r="K208" s="68"/>
      <c r="L208" s="68"/>
      <c r="M208" s="70"/>
      <c r="N208" s="70"/>
      <c r="O208" s="70"/>
      <c r="P208" s="70"/>
      <c r="Q208" s="70"/>
      <c r="R208" s="70"/>
      <c r="S208" s="70"/>
      <c r="T208" s="70"/>
    </row>
    <row r="209">
      <c r="A209" s="68"/>
      <c r="B209" s="69"/>
      <c r="C209" s="69"/>
      <c r="D209" s="69"/>
      <c r="E209" s="69"/>
      <c r="F209" s="91"/>
      <c r="G209" s="69"/>
      <c r="H209" s="69"/>
      <c r="I209" s="68"/>
      <c r="J209" s="68"/>
      <c r="K209" s="68"/>
      <c r="L209" s="68"/>
      <c r="M209" s="70"/>
      <c r="N209" s="70"/>
      <c r="O209" s="70"/>
      <c r="P209" s="70"/>
      <c r="Q209" s="70"/>
      <c r="R209" s="70"/>
      <c r="S209" s="70"/>
      <c r="T209" s="70"/>
    </row>
    <row r="210">
      <c r="A210" s="68"/>
      <c r="B210" s="69"/>
      <c r="C210" s="69"/>
      <c r="D210" s="69"/>
      <c r="E210" s="69"/>
      <c r="F210" s="91"/>
      <c r="G210" s="69"/>
      <c r="H210" s="69"/>
      <c r="I210" s="68"/>
      <c r="J210" s="68"/>
      <c r="K210" s="68"/>
      <c r="L210" s="68"/>
      <c r="M210" s="70"/>
      <c r="N210" s="70"/>
      <c r="O210" s="70"/>
      <c r="P210" s="70"/>
      <c r="Q210" s="70"/>
      <c r="R210" s="70"/>
      <c r="S210" s="70"/>
      <c r="T210" s="70"/>
    </row>
    <row r="211">
      <c r="A211" s="68"/>
      <c r="B211" s="69"/>
      <c r="C211" s="69"/>
      <c r="D211" s="69"/>
      <c r="E211" s="69"/>
      <c r="F211" s="91"/>
      <c r="G211" s="69"/>
      <c r="H211" s="69"/>
      <c r="I211" s="68"/>
      <c r="J211" s="68"/>
      <c r="K211" s="68"/>
      <c r="L211" s="68"/>
      <c r="M211" s="70"/>
      <c r="N211" s="70"/>
      <c r="O211" s="70"/>
      <c r="P211" s="70"/>
      <c r="Q211" s="70"/>
      <c r="R211" s="70"/>
      <c r="S211" s="70"/>
      <c r="T211" s="70"/>
    </row>
    <row r="212">
      <c r="A212" s="68"/>
      <c r="B212" s="69"/>
      <c r="C212" s="69"/>
      <c r="D212" s="69"/>
      <c r="E212" s="69"/>
      <c r="F212" s="91"/>
      <c r="G212" s="69"/>
      <c r="H212" s="69"/>
      <c r="I212" s="68"/>
      <c r="J212" s="68"/>
      <c r="K212" s="68"/>
      <c r="L212" s="68"/>
      <c r="M212" s="70"/>
      <c r="N212" s="70"/>
      <c r="O212" s="70"/>
      <c r="P212" s="70"/>
      <c r="Q212" s="70"/>
      <c r="R212" s="70"/>
      <c r="S212" s="70"/>
      <c r="T212" s="70"/>
    </row>
    <row r="213">
      <c r="A213" s="68"/>
      <c r="B213" s="69"/>
      <c r="C213" s="69"/>
      <c r="D213" s="69"/>
      <c r="E213" s="69"/>
      <c r="F213" s="91"/>
      <c r="G213" s="69"/>
      <c r="H213" s="69"/>
      <c r="I213" s="68"/>
      <c r="J213" s="68"/>
      <c r="K213" s="68"/>
      <c r="L213" s="68"/>
      <c r="M213" s="70"/>
      <c r="N213" s="70"/>
      <c r="O213" s="70"/>
      <c r="P213" s="70"/>
      <c r="Q213" s="70"/>
      <c r="R213" s="70"/>
      <c r="S213" s="70"/>
      <c r="T213" s="70"/>
    </row>
    <row r="214">
      <c r="A214" s="68"/>
      <c r="B214" s="69"/>
      <c r="C214" s="69"/>
      <c r="D214" s="69"/>
      <c r="E214" s="69"/>
      <c r="F214" s="91"/>
      <c r="G214" s="69"/>
      <c r="H214" s="69"/>
      <c r="I214" s="68"/>
      <c r="J214" s="68"/>
      <c r="K214" s="68"/>
      <c r="L214" s="68"/>
      <c r="M214" s="70"/>
      <c r="N214" s="70"/>
      <c r="O214" s="70"/>
      <c r="P214" s="70"/>
      <c r="Q214" s="70"/>
      <c r="R214" s="70"/>
      <c r="S214" s="70"/>
      <c r="T214" s="70"/>
    </row>
    <row r="215">
      <c r="A215" s="68"/>
      <c r="B215" s="69"/>
      <c r="C215" s="69"/>
      <c r="D215" s="69"/>
      <c r="E215" s="69"/>
      <c r="F215" s="91"/>
      <c r="G215" s="69"/>
      <c r="H215" s="69"/>
      <c r="I215" s="68"/>
      <c r="J215" s="68"/>
      <c r="K215" s="68"/>
      <c r="L215" s="68"/>
      <c r="M215" s="70"/>
      <c r="N215" s="70"/>
      <c r="O215" s="70"/>
      <c r="P215" s="70"/>
      <c r="Q215" s="70"/>
      <c r="R215" s="70"/>
      <c r="S215" s="70"/>
      <c r="T215" s="70"/>
    </row>
    <row r="216">
      <c r="A216" s="68"/>
      <c r="B216" s="69"/>
      <c r="C216" s="69"/>
      <c r="D216" s="69"/>
      <c r="E216" s="69"/>
      <c r="F216" s="91"/>
      <c r="G216" s="69"/>
      <c r="H216" s="69"/>
      <c r="I216" s="68"/>
      <c r="J216" s="68"/>
      <c r="K216" s="68"/>
      <c r="L216" s="68"/>
      <c r="M216" s="70"/>
      <c r="N216" s="70"/>
      <c r="O216" s="70"/>
      <c r="P216" s="70"/>
      <c r="Q216" s="70"/>
      <c r="R216" s="70"/>
      <c r="S216" s="70"/>
      <c r="T216" s="70"/>
    </row>
    <row r="217">
      <c r="A217" s="68"/>
      <c r="B217" s="69"/>
      <c r="C217" s="69"/>
      <c r="D217" s="69"/>
      <c r="E217" s="69"/>
      <c r="F217" s="91"/>
      <c r="G217" s="69"/>
      <c r="H217" s="69"/>
      <c r="I217" s="68"/>
      <c r="J217" s="68"/>
      <c r="K217" s="68"/>
      <c r="L217" s="68"/>
      <c r="M217" s="70"/>
      <c r="N217" s="70"/>
      <c r="O217" s="70"/>
      <c r="P217" s="70"/>
      <c r="Q217" s="70"/>
      <c r="R217" s="70"/>
      <c r="S217" s="70"/>
      <c r="T217" s="70"/>
    </row>
    <row r="218">
      <c r="A218" s="68"/>
      <c r="B218" s="69"/>
      <c r="C218" s="69"/>
      <c r="D218" s="69"/>
      <c r="E218" s="69"/>
      <c r="F218" s="91"/>
      <c r="G218" s="69"/>
      <c r="H218" s="69"/>
      <c r="I218" s="68"/>
      <c r="J218" s="68"/>
      <c r="K218" s="68"/>
      <c r="L218" s="68"/>
      <c r="M218" s="70"/>
      <c r="N218" s="70"/>
      <c r="O218" s="70"/>
      <c r="P218" s="70"/>
      <c r="Q218" s="70"/>
      <c r="R218" s="70"/>
      <c r="S218" s="70"/>
      <c r="T218" s="70"/>
    </row>
    <row r="219">
      <c r="A219" s="68"/>
      <c r="B219" s="69"/>
      <c r="C219" s="69"/>
      <c r="D219" s="69"/>
      <c r="E219" s="69"/>
      <c r="F219" s="91"/>
      <c r="G219" s="69"/>
      <c r="H219" s="69"/>
      <c r="I219" s="68"/>
      <c r="J219" s="68"/>
      <c r="K219" s="68"/>
      <c r="L219" s="68"/>
      <c r="M219" s="70"/>
      <c r="N219" s="70"/>
      <c r="O219" s="70"/>
      <c r="P219" s="70"/>
      <c r="Q219" s="70"/>
      <c r="R219" s="70"/>
      <c r="S219" s="70"/>
      <c r="T219" s="70"/>
    </row>
    <row r="220">
      <c r="A220" s="68"/>
      <c r="B220" s="69"/>
      <c r="C220" s="69"/>
      <c r="D220" s="69"/>
      <c r="E220" s="69"/>
      <c r="F220" s="91"/>
      <c r="G220" s="69"/>
      <c r="H220" s="69"/>
      <c r="I220" s="68"/>
      <c r="J220" s="68"/>
      <c r="K220" s="68"/>
      <c r="L220" s="68"/>
      <c r="M220" s="70"/>
      <c r="N220" s="70"/>
      <c r="O220" s="70"/>
      <c r="P220" s="70"/>
      <c r="Q220" s="70"/>
      <c r="R220" s="70"/>
      <c r="S220" s="70"/>
      <c r="T220" s="70"/>
    </row>
    <row r="221">
      <c r="A221" s="68"/>
      <c r="B221" s="69"/>
      <c r="C221" s="69"/>
      <c r="D221" s="69"/>
      <c r="E221" s="69"/>
      <c r="F221" s="91"/>
      <c r="G221" s="69"/>
      <c r="H221" s="69"/>
      <c r="I221" s="68"/>
      <c r="J221" s="68"/>
      <c r="K221" s="68"/>
      <c r="L221" s="68"/>
      <c r="M221" s="70"/>
      <c r="N221" s="70"/>
      <c r="O221" s="70"/>
      <c r="P221" s="70"/>
      <c r="Q221" s="70"/>
      <c r="R221" s="70"/>
      <c r="S221" s="70"/>
      <c r="T221" s="70"/>
    </row>
    <row r="222">
      <c r="A222" s="68"/>
      <c r="B222" s="69"/>
      <c r="C222" s="69"/>
      <c r="D222" s="69"/>
      <c r="E222" s="69"/>
      <c r="F222" s="91"/>
      <c r="G222" s="69"/>
      <c r="H222" s="69"/>
      <c r="I222" s="68"/>
      <c r="J222" s="68"/>
      <c r="K222" s="68"/>
      <c r="L222" s="68"/>
      <c r="M222" s="70"/>
      <c r="N222" s="70"/>
      <c r="O222" s="70"/>
      <c r="P222" s="70"/>
      <c r="Q222" s="70"/>
      <c r="R222" s="70"/>
      <c r="S222" s="70"/>
      <c r="T222" s="70"/>
    </row>
    <row r="223">
      <c r="A223" s="68"/>
      <c r="B223" s="69"/>
      <c r="C223" s="69"/>
      <c r="D223" s="69"/>
      <c r="E223" s="69"/>
      <c r="F223" s="91"/>
      <c r="G223" s="69"/>
      <c r="H223" s="69"/>
      <c r="I223" s="68"/>
      <c r="J223" s="68"/>
      <c r="K223" s="68"/>
      <c r="L223" s="68"/>
      <c r="M223" s="70"/>
      <c r="N223" s="70"/>
      <c r="O223" s="70"/>
      <c r="P223" s="70"/>
      <c r="Q223" s="70"/>
      <c r="R223" s="70"/>
      <c r="S223" s="70"/>
      <c r="T223" s="70"/>
    </row>
    <row r="224">
      <c r="A224" s="68"/>
      <c r="B224" s="69"/>
      <c r="C224" s="69"/>
      <c r="D224" s="69"/>
      <c r="E224" s="69"/>
      <c r="F224" s="91"/>
      <c r="G224" s="69"/>
      <c r="H224" s="69"/>
      <c r="I224" s="68"/>
      <c r="J224" s="68"/>
      <c r="K224" s="68"/>
      <c r="L224" s="68"/>
      <c r="M224" s="70"/>
      <c r="N224" s="70"/>
      <c r="O224" s="70"/>
      <c r="P224" s="70"/>
      <c r="Q224" s="70"/>
      <c r="R224" s="70"/>
      <c r="S224" s="70"/>
      <c r="T224" s="70"/>
    </row>
    <row r="225">
      <c r="A225" s="68"/>
      <c r="B225" s="69"/>
      <c r="C225" s="69"/>
      <c r="D225" s="69"/>
      <c r="E225" s="69"/>
      <c r="F225" s="91"/>
      <c r="G225" s="69"/>
      <c r="H225" s="69"/>
      <c r="I225" s="68"/>
      <c r="J225" s="68"/>
      <c r="K225" s="68"/>
      <c r="L225" s="68"/>
      <c r="M225" s="70"/>
      <c r="N225" s="70"/>
      <c r="O225" s="70"/>
      <c r="P225" s="70"/>
      <c r="Q225" s="70"/>
      <c r="R225" s="70"/>
      <c r="S225" s="70"/>
      <c r="T225" s="70"/>
    </row>
    <row r="226">
      <c r="A226" s="68"/>
      <c r="B226" s="69"/>
      <c r="C226" s="69"/>
      <c r="D226" s="69"/>
      <c r="E226" s="69"/>
      <c r="F226" s="91"/>
      <c r="G226" s="69"/>
      <c r="H226" s="69"/>
      <c r="I226" s="68"/>
      <c r="J226" s="68"/>
      <c r="K226" s="68"/>
      <c r="L226" s="68"/>
      <c r="M226" s="70"/>
      <c r="N226" s="70"/>
      <c r="O226" s="70"/>
      <c r="P226" s="70"/>
      <c r="Q226" s="70"/>
      <c r="R226" s="70"/>
      <c r="S226" s="70"/>
      <c r="T226" s="70"/>
    </row>
    <row r="227">
      <c r="A227" s="68"/>
      <c r="B227" s="69"/>
      <c r="C227" s="69"/>
      <c r="D227" s="69"/>
      <c r="E227" s="69"/>
      <c r="F227" s="91"/>
      <c r="G227" s="69"/>
      <c r="H227" s="69"/>
      <c r="I227" s="68"/>
      <c r="J227" s="68"/>
      <c r="K227" s="68"/>
      <c r="L227" s="68"/>
      <c r="M227" s="70"/>
      <c r="N227" s="70"/>
      <c r="O227" s="70"/>
      <c r="P227" s="70"/>
      <c r="Q227" s="70"/>
      <c r="R227" s="70"/>
      <c r="S227" s="70"/>
      <c r="T227" s="70"/>
    </row>
    <row r="228">
      <c r="A228" s="68"/>
      <c r="B228" s="69"/>
      <c r="C228" s="69"/>
      <c r="D228" s="69"/>
      <c r="E228" s="69"/>
      <c r="F228" s="91"/>
      <c r="G228" s="69"/>
      <c r="H228" s="69"/>
      <c r="I228" s="68"/>
      <c r="J228" s="68"/>
      <c r="K228" s="68"/>
      <c r="L228" s="68"/>
      <c r="M228" s="70"/>
      <c r="N228" s="70"/>
      <c r="O228" s="70"/>
      <c r="P228" s="70"/>
      <c r="Q228" s="70"/>
      <c r="R228" s="70"/>
      <c r="S228" s="70"/>
      <c r="T228" s="70"/>
    </row>
    <row r="229">
      <c r="A229" s="68"/>
      <c r="B229" s="69"/>
      <c r="C229" s="69"/>
      <c r="D229" s="69"/>
      <c r="E229" s="69"/>
      <c r="F229" s="91"/>
      <c r="G229" s="69"/>
      <c r="H229" s="69"/>
      <c r="I229" s="68"/>
      <c r="J229" s="68"/>
      <c r="K229" s="68"/>
      <c r="L229" s="68"/>
      <c r="M229" s="70"/>
      <c r="N229" s="70"/>
      <c r="O229" s="70"/>
      <c r="P229" s="70"/>
      <c r="Q229" s="70"/>
      <c r="R229" s="70"/>
      <c r="S229" s="70"/>
      <c r="T229" s="70"/>
    </row>
    <row r="230">
      <c r="A230" s="68"/>
      <c r="B230" s="69"/>
      <c r="C230" s="69"/>
      <c r="D230" s="69"/>
      <c r="E230" s="69"/>
      <c r="F230" s="91"/>
      <c r="G230" s="69"/>
      <c r="H230" s="69"/>
      <c r="I230" s="68"/>
      <c r="J230" s="68"/>
      <c r="K230" s="68"/>
      <c r="L230" s="68"/>
      <c r="M230" s="70"/>
      <c r="N230" s="70"/>
      <c r="O230" s="70"/>
      <c r="P230" s="70"/>
      <c r="Q230" s="70"/>
      <c r="R230" s="70"/>
      <c r="S230" s="70"/>
      <c r="T230" s="70"/>
    </row>
    <row r="231">
      <c r="A231" s="68"/>
      <c r="B231" s="69"/>
      <c r="C231" s="69"/>
      <c r="D231" s="69"/>
      <c r="E231" s="69"/>
      <c r="F231" s="91"/>
      <c r="G231" s="69"/>
      <c r="H231" s="69"/>
      <c r="I231" s="68"/>
      <c r="J231" s="68"/>
      <c r="K231" s="68"/>
      <c r="L231" s="68"/>
      <c r="M231" s="70"/>
      <c r="N231" s="70"/>
      <c r="O231" s="70"/>
      <c r="P231" s="70"/>
      <c r="Q231" s="70"/>
      <c r="R231" s="70"/>
      <c r="S231" s="70"/>
      <c r="T231" s="70"/>
    </row>
    <row r="232">
      <c r="A232" s="68"/>
      <c r="B232" s="69"/>
      <c r="C232" s="69"/>
      <c r="D232" s="69"/>
      <c r="E232" s="69"/>
      <c r="F232" s="91"/>
      <c r="G232" s="69"/>
      <c r="H232" s="69"/>
      <c r="I232" s="68"/>
      <c r="J232" s="68"/>
      <c r="K232" s="68"/>
      <c r="L232" s="68"/>
      <c r="M232" s="70"/>
      <c r="N232" s="70"/>
      <c r="O232" s="70"/>
      <c r="P232" s="70"/>
      <c r="Q232" s="70"/>
      <c r="R232" s="70"/>
      <c r="S232" s="70"/>
      <c r="T232" s="70"/>
    </row>
    <row r="233">
      <c r="A233" s="68"/>
      <c r="B233" s="69"/>
      <c r="C233" s="69"/>
      <c r="D233" s="69"/>
      <c r="E233" s="69"/>
      <c r="F233" s="91"/>
      <c r="G233" s="69"/>
      <c r="H233" s="69"/>
      <c r="I233" s="68"/>
      <c r="J233" s="68"/>
      <c r="K233" s="68"/>
      <c r="L233" s="68"/>
      <c r="M233" s="70"/>
      <c r="N233" s="70"/>
      <c r="O233" s="70"/>
      <c r="P233" s="70"/>
      <c r="Q233" s="70"/>
      <c r="R233" s="70"/>
      <c r="S233" s="70"/>
      <c r="T233" s="70"/>
    </row>
    <row r="234">
      <c r="A234" s="68"/>
      <c r="B234" s="69"/>
      <c r="C234" s="69"/>
      <c r="D234" s="69"/>
      <c r="E234" s="69"/>
      <c r="F234" s="91"/>
      <c r="G234" s="69"/>
      <c r="H234" s="69"/>
      <c r="I234" s="68"/>
      <c r="J234" s="68"/>
      <c r="K234" s="68"/>
      <c r="L234" s="68"/>
      <c r="M234" s="70"/>
      <c r="N234" s="70"/>
      <c r="O234" s="70"/>
      <c r="P234" s="70"/>
      <c r="Q234" s="70"/>
      <c r="R234" s="70"/>
      <c r="S234" s="70"/>
      <c r="T234" s="70"/>
    </row>
    <row r="235">
      <c r="A235" s="68"/>
      <c r="B235" s="69"/>
      <c r="C235" s="69"/>
      <c r="D235" s="69"/>
      <c r="E235" s="69"/>
      <c r="F235" s="91"/>
      <c r="G235" s="69"/>
      <c r="H235" s="69"/>
      <c r="I235" s="68"/>
      <c r="J235" s="68"/>
      <c r="K235" s="68"/>
      <c r="L235" s="68"/>
      <c r="M235" s="70"/>
      <c r="N235" s="70"/>
      <c r="O235" s="70"/>
      <c r="P235" s="70"/>
      <c r="Q235" s="70"/>
      <c r="R235" s="70"/>
      <c r="S235" s="70"/>
      <c r="T235" s="70"/>
    </row>
    <row r="236">
      <c r="A236" s="68"/>
      <c r="B236" s="69"/>
      <c r="C236" s="69"/>
      <c r="D236" s="69"/>
      <c r="E236" s="69"/>
      <c r="F236" s="91"/>
      <c r="G236" s="69"/>
      <c r="H236" s="69"/>
      <c r="I236" s="68"/>
      <c r="J236" s="68"/>
      <c r="K236" s="68"/>
      <c r="L236" s="68"/>
      <c r="M236" s="70"/>
      <c r="N236" s="70"/>
      <c r="O236" s="70"/>
      <c r="P236" s="70"/>
      <c r="Q236" s="70"/>
      <c r="R236" s="70"/>
      <c r="S236" s="70"/>
      <c r="T236" s="70"/>
    </row>
    <row r="237">
      <c r="A237" s="68"/>
      <c r="B237" s="69"/>
      <c r="C237" s="69"/>
      <c r="D237" s="69"/>
      <c r="E237" s="69"/>
      <c r="F237" s="91"/>
      <c r="G237" s="69"/>
      <c r="H237" s="69"/>
      <c r="I237" s="68"/>
      <c r="J237" s="68"/>
      <c r="K237" s="68"/>
      <c r="L237" s="68"/>
      <c r="M237" s="70"/>
      <c r="N237" s="70"/>
      <c r="O237" s="70"/>
      <c r="P237" s="70"/>
      <c r="Q237" s="70"/>
      <c r="R237" s="70"/>
      <c r="S237" s="70"/>
      <c r="T237" s="70"/>
    </row>
    <row r="238">
      <c r="A238" s="68"/>
      <c r="B238" s="69"/>
      <c r="C238" s="69"/>
      <c r="D238" s="69"/>
      <c r="E238" s="69"/>
      <c r="F238" s="91"/>
      <c r="G238" s="69"/>
      <c r="H238" s="69"/>
      <c r="I238" s="68"/>
      <c r="J238" s="68"/>
      <c r="K238" s="68"/>
      <c r="L238" s="68"/>
      <c r="M238" s="70"/>
      <c r="N238" s="70"/>
      <c r="O238" s="70"/>
      <c r="P238" s="70"/>
      <c r="Q238" s="70"/>
      <c r="R238" s="70"/>
      <c r="S238" s="70"/>
      <c r="T238" s="70"/>
    </row>
    <row r="239">
      <c r="A239" s="68"/>
      <c r="B239" s="69"/>
      <c r="C239" s="69"/>
      <c r="D239" s="69"/>
      <c r="E239" s="69"/>
      <c r="F239" s="91"/>
      <c r="G239" s="69"/>
      <c r="H239" s="69"/>
      <c r="I239" s="68"/>
      <c r="J239" s="68"/>
      <c r="K239" s="68"/>
      <c r="L239" s="68"/>
      <c r="M239" s="70"/>
      <c r="N239" s="70"/>
      <c r="O239" s="70"/>
      <c r="P239" s="70"/>
      <c r="Q239" s="70"/>
      <c r="R239" s="70"/>
      <c r="S239" s="70"/>
      <c r="T239" s="70"/>
    </row>
    <row r="240">
      <c r="A240" s="68"/>
      <c r="B240" s="69"/>
      <c r="C240" s="69"/>
      <c r="D240" s="69"/>
      <c r="E240" s="69"/>
      <c r="F240" s="91"/>
      <c r="G240" s="69"/>
      <c r="H240" s="69"/>
      <c r="I240" s="68"/>
      <c r="J240" s="68"/>
      <c r="K240" s="68"/>
      <c r="L240" s="68"/>
      <c r="M240" s="70"/>
      <c r="N240" s="70"/>
      <c r="O240" s="70"/>
      <c r="P240" s="70"/>
      <c r="Q240" s="70"/>
      <c r="R240" s="70"/>
      <c r="S240" s="70"/>
      <c r="T240" s="70"/>
    </row>
    <row r="241">
      <c r="A241" s="68"/>
      <c r="B241" s="69"/>
      <c r="C241" s="69"/>
      <c r="D241" s="69"/>
      <c r="E241" s="69"/>
      <c r="F241" s="91"/>
      <c r="G241" s="69"/>
      <c r="H241" s="69"/>
      <c r="I241" s="68"/>
      <c r="J241" s="68"/>
      <c r="K241" s="68"/>
      <c r="L241" s="68"/>
      <c r="M241" s="70"/>
      <c r="N241" s="70"/>
      <c r="O241" s="70"/>
      <c r="P241" s="70"/>
      <c r="Q241" s="70"/>
      <c r="R241" s="70"/>
      <c r="S241" s="70"/>
      <c r="T241" s="70"/>
    </row>
    <row r="242">
      <c r="A242" s="68"/>
      <c r="B242" s="69"/>
      <c r="C242" s="69"/>
      <c r="D242" s="69"/>
      <c r="E242" s="69"/>
      <c r="F242" s="91"/>
      <c r="G242" s="69"/>
      <c r="H242" s="69"/>
      <c r="I242" s="68"/>
      <c r="J242" s="68"/>
      <c r="K242" s="68"/>
      <c r="L242" s="68"/>
      <c r="M242" s="70"/>
      <c r="N242" s="70"/>
      <c r="O242" s="70"/>
      <c r="P242" s="70"/>
      <c r="Q242" s="70"/>
      <c r="R242" s="70"/>
      <c r="S242" s="70"/>
      <c r="T242" s="70"/>
    </row>
    <row r="243">
      <c r="A243" s="68"/>
      <c r="B243" s="69"/>
      <c r="C243" s="69"/>
      <c r="D243" s="69"/>
      <c r="E243" s="69"/>
      <c r="F243" s="91"/>
      <c r="G243" s="69"/>
      <c r="H243" s="69"/>
      <c r="I243" s="68"/>
      <c r="J243" s="68"/>
      <c r="K243" s="68"/>
      <c r="L243" s="68"/>
      <c r="M243" s="70"/>
      <c r="N243" s="70"/>
      <c r="O243" s="70"/>
      <c r="P243" s="70"/>
      <c r="Q243" s="70"/>
      <c r="R243" s="70"/>
      <c r="S243" s="70"/>
      <c r="T243" s="70"/>
    </row>
    <row r="244">
      <c r="A244" s="68"/>
      <c r="B244" s="69"/>
      <c r="C244" s="69"/>
      <c r="D244" s="69"/>
      <c r="E244" s="69"/>
      <c r="F244" s="91"/>
      <c r="G244" s="69"/>
      <c r="H244" s="69"/>
      <c r="I244" s="68"/>
      <c r="J244" s="68"/>
      <c r="K244" s="68"/>
      <c r="L244" s="68"/>
      <c r="M244" s="70"/>
      <c r="N244" s="70"/>
      <c r="O244" s="70"/>
      <c r="P244" s="70"/>
      <c r="Q244" s="70"/>
      <c r="R244" s="70"/>
      <c r="S244" s="70"/>
      <c r="T244" s="70"/>
    </row>
    <row r="245">
      <c r="A245" s="68"/>
      <c r="B245" s="69"/>
      <c r="C245" s="69"/>
      <c r="D245" s="69"/>
      <c r="E245" s="69"/>
      <c r="F245" s="91"/>
      <c r="G245" s="69"/>
      <c r="H245" s="69"/>
      <c r="I245" s="68"/>
      <c r="J245" s="68"/>
      <c r="K245" s="68"/>
      <c r="L245" s="68"/>
      <c r="M245" s="70"/>
      <c r="N245" s="70"/>
      <c r="O245" s="70"/>
      <c r="P245" s="70"/>
      <c r="Q245" s="70"/>
      <c r="R245" s="70"/>
      <c r="S245" s="70"/>
      <c r="T245" s="70"/>
    </row>
    <row r="246">
      <c r="A246" s="68"/>
      <c r="B246" s="69"/>
      <c r="C246" s="69"/>
      <c r="D246" s="69"/>
      <c r="E246" s="69"/>
      <c r="F246" s="91"/>
      <c r="G246" s="69"/>
      <c r="H246" s="69"/>
      <c r="I246" s="68"/>
      <c r="J246" s="68"/>
      <c r="K246" s="68"/>
      <c r="L246" s="68"/>
      <c r="M246" s="70"/>
      <c r="N246" s="70"/>
      <c r="O246" s="70"/>
      <c r="P246" s="70"/>
      <c r="Q246" s="70"/>
      <c r="R246" s="70"/>
      <c r="S246" s="70"/>
      <c r="T246" s="70"/>
    </row>
    <row r="247">
      <c r="A247" s="68"/>
      <c r="B247" s="69"/>
      <c r="C247" s="69"/>
      <c r="D247" s="69"/>
      <c r="E247" s="69"/>
      <c r="F247" s="91"/>
      <c r="G247" s="69"/>
      <c r="H247" s="69"/>
      <c r="I247" s="68"/>
      <c r="J247" s="68"/>
      <c r="K247" s="68"/>
      <c r="L247" s="68"/>
      <c r="M247" s="70"/>
      <c r="N247" s="70"/>
      <c r="O247" s="70"/>
      <c r="P247" s="70"/>
      <c r="Q247" s="70"/>
      <c r="R247" s="70"/>
      <c r="S247" s="70"/>
      <c r="T247" s="70"/>
    </row>
    <row r="248">
      <c r="A248" s="68"/>
      <c r="B248" s="69"/>
      <c r="C248" s="69"/>
      <c r="D248" s="69"/>
      <c r="E248" s="69"/>
      <c r="F248" s="91"/>
      <c r="G248" s="69"/>
      <c r="H248" s="69"/>
      <c r="I248" s="68"/>
      <c r="J248" s="68"/>
      <c r="K248" s="68"/>
      <c r="L248" s="68"/>
      <c r="M248" s="70"/>
      <c r="N248" s="70"/>
      <c r="O248" s="70"/>
      <c r="P248" s="70"/>
      <c r="Q248" s="70"/>
      <c r="R248" s="70"/>
      <c r="S248" s="70"/>
      <c r="T248" s="70"/>
    </row>
    <row r="249">
      <c r="A249" s="68"/>
      <c r="B249" s="69"/>
      <c r="C249" s="69"/>
      <c r="D249" s="69"/>
      <c r="E249" s="69"/>
      <c r="F249" s="91"/>
      <c r="G249" s="69"/>
      <c r="H249" s="69"/>
      <c r="I249" s="68"/>
      <c r="J249" s="68"/>
      <c r="K249" s="68"/>
      <c r="L249" s="68"/>
      <c r="M249" s="70"/>
      <c r="N249" s="70"/>
      <c r="O249" s="70"/>
      <c r="P249" s="70"/>
      <c r="Q249" s="70"/>
      <c r="R249" s="70"/>
      <c r="S249" s="70"/>
      <c r="T249" s="70"/>
    </row>
    <row r="250">
      <c r="A250" s="68"/>
      <c r="B250" s="69"/>
      <c r="C250" s="69"/>
      <c r="D250" s="69"/>
      <c r="E250" s="69"/>
      <c r="F250" s="91"/>
      <c r="G250" s="69"/>
      <c r="H250" s="69"/>
      <c r="I250" s="68"/>
      <c r="J250" s="68"/>
      <c r="K250" s="68"/>
      <c r="L250" s="68"/>
      <c r="M250" s="70"/>
      <c r="N250" s="70"/>
      <c r="O250" s="70"/>
      <c r="P250" s="70"/>
      <c r="Q250" s="70"/>
      <c r="R250" s="70"/>
      <c r="S250" s="70"/>
      <c r="T250" s="70"/>
    </row>
    <row r="251">
      <c r="A251" s="68"/>
      <c r="B251" s="69"/>
      <c r="C251" s="69"/>
      <c r="D251" s="69"/>
      <c r="E251" s="69"/>
      <c r="F251" s="91"/>
      <c r="G251" s="69"/>
      <c r="H251" s="69"/>
      <c r="I251" s="68"/>
      <c r="J251" s="68"/>
      <c r="K251" s="68"/>
      <c r="L251" s="68"/>
      <c r="M251" s="70"/>
      <c r="N251" s="70"/>
      <c r="O251" s="70"/>
      <c r="P251" s="70"/>
      <c r="Q251" s="70"/>
      <c r="R251" s="70"/>
      <c r="S251" s="70"/>
      <c r="T251" s="70"/>
    </row>
    <row r="252">
      <c r="A252" s="68"/>
      <c r="B252" s="69"/>
      <c r="C252" s="69"/>
      <c r="D252" s="69"/>
      <c r="E252" s="69"/>
      <c r="F252" s="91"/>
      <c r="G252" s="69"/>
      <c r="H252" s="69"/>
      <c r="I252" s="68"/>
      <c r="J252" s="68"/>
      <c r="K252" s="68"/>
      <c r="L252" s="68"/>
      <c r="M252" s="70"/>
      <c r="N252" s="70"/>
      <c r="O252" s="70"/>
      <c r="P252" s="70"/>
      <c r="Q252" s="70"/>
      <c r="R252" s="70"/>
      <c r="S252" s="70"/>
      <c r="T252" s="70"/>
    </row>
    <row r="253">
      <c r="A253" s="68"/>
      <c r="B253" s="69"/>
      <c r="C253" s="69"/>
      <c r="D253" s="69"/>
      <c r="E253" s="69"/>
      <c r="F253" s="91"/>
      <c r="G253" s="69"/>
      <c r="H253" s="69"/>
      <c r="I253" s="68"/>
      <c r="J253" s="68"/>
      <c r="K253" s="68"/>
      <c r="L253" s="68"/>
      <c r="M253" s="70"/>
      <c r="N253" s="70"/>
      <c r="O253" s="70"/>
      <c r="P253" s="70"/>
      <c r="Q253" s="70"/>
      <c r="R253" s="70"/>
      <c r="S253" s="70"/>
      <c r="T253" s="70"/>
    </row>
    <row r="254">
      <c r="A254" s="68"/>
      <c r="B254" s="69"/>
      <c r="C254" s="69"/>
      <c r="D254" s="69"/>
      <c r="E254" s="69"/>
      <c r="F254" s="91"/>
      <c r="G254" s="69"/>
      <c r="H254" s="69"/>
      <c r="I254" s="68"/>
      <c r="J254" s="68"/>
      <c r="K254" s="68"/>
      <c r="L254" s="68"/>
      <c r="M254" s="70"/>
      <c r="N254" s="70"/>
      <c r="O254" s="70"/>
      <c r="P254" s="70"/>
      <c r="Q254" s="70"/>
      <c r="R254" s="70"/>
      <c r="S254" s="70"/>
      <c r="T254" s="70"/>
    </row>
    <row r="255">
      <c r="A255" s="68"/>
      <c r="B255" s="69"/>
      <c r="C255" s="69"/>
      <c r="D255" s="69"/>
      <c r="E255" s="69"/>
      <c r="F255" s="91"/>
      <c r="G255" s="69"/>
      <c r="H255" s="69"/>
      <c r="I255" s="68"/>
      <c r="J255" s="68"/>
      <c r="K255" s="68"/>
      <c r="L255" s="68"/>
      <c r="M255" s="70"/>
      <c r="N255" s="70"/>
      <c r="O255" s="70"/>
      <c r="P255" s="70"/>
      <c r="Q255" s="70"/>
      <c r="R255" s="70"/>
      <c r="S255" s="70"/>
      <c r="T255" s="70"/>
    </row>
    <row r="256">
      <c r="A256" s="68"/>
      <c r="B256" s="69"/>
      <c r="C256" s="69"/>
      <c r="D256" s="69"/>
      <c r="E256" s="69"/>
      <c r="F256" s="91"/>
      <c r="G256" s="69"/>
      <c r="H256" s="69"/>
      <c r="I256" s="68"/>
      <c r="J256" s="68"/>
      <c r="K256" s="68"/>
      <c r="L256" s="68"/>
      <c r="M256" s="70"/>
      <c r="N256" s="70"/>
      <c r="O256" s="70"/>
      <c r="P256" s="70"/>
      <c r="Q256" s="70"/>
      <c r="R256" s="70"/>
      <c r="S256" s="70"/>
      <c r="T256" s="70"/>
    </row>
    <row r="257">
      <c r="A257" s="68"/>
      <c r="B257" s="69"/>
      <c r="C257" s="69"/>
      <c r="D257" s="69"/>
      <c r="E257" s="69"/>
      <c r="F257" s="91"/>
      <c r="G257" s="69"/>
      <c r="H257" s="69"/>
      <c r="I257" s="68"/>
      <c r="J257" s="68"/>
      <c r="K257" s="68"/>
      <c r="L257" s="68"/>
      <c r="M257" s="70"/>
      <c r="N257" s="70"/>
      <c r="O257" s="70"/>
      <c r="P257" s="70"/>
      <c r="Q257" s="70"/>
      <c r="R257" s="70"/>
      <c r="S257" s="70"/>
      <c r="T257" s="70"/>
    </row>
    <row r="258">
      <c r="A258" s="68"/>
      <c r="B258" s="69"/>
      <c r="C258" s="69"/>
      <c r="D258" s="69"/>
      <c r="E258" s="69"/>
      <c r="F258" s="91"/>
      <c r="G258" s="69"/>
      <c r="H258" s="69"/>
      <c r="I258" s="68"/>
      <c r="J258" s="68"/>
      <c r="K258" s="68"/>
      <c r="L258" s="68"/>
      <c r="M258" s="70"/>
      <c r="N258" s="70"/>
      <c r="O258" s="70"/>
      <c r="P258" s="70"/>
      <c r="Q258" s="70"/>
      <c r="R258" s="70"/>
      <c r="S258" s="70"/>
      <c r="T258" s="70"/>
    </row>
    <row r="259">
      <c r="A259" s="68"/>
      <c r="B259" s="69"/>
      <c r="C259" s="69"/>
      <c r="D259" s="69"/>
      <c r="E259" s="69"/>
      <c r="F259" s="91"/>
      <c r="G259" s="69"/>
      <c r="H259" s="69"/>
      <c r="I259" s="68"/>
      <c r="J259" s="68"/>
      <c r="K259" s="68"/>
      <c r="L259" s="68"/>
      <c r="M259" s="70"/>
      <c r="N259" s="70"/>
      <c r="O259" s="70"/>
      <c r="P259" s="70"/>
      <c r="Q259" s="70"/>
      <c r="R259" s="70"/>
      <c r="S259" s="70"/>
      <c r="T259" s="70"/>
    </row>
    <row r="260">
      <c r="A260" s="68"/>
      <c r="B260" s="69"/>
      <c r="C260" s="69"/>
      <c r="D260" s="69"/>
      <c r="E260" s="69"/>
      <c r="F260" s="91"/>
      <c r="G260" s="69"/>
      <c r="H260" s="69"/>
      <c r="I260" s="68"/>
      <c r="J260" s="68"/>
      <c r="K260" s="68"/>
      <c r="L260" s="68"/>
      <c r="M260" s="70"/>
      <c r="N260" s="70"/>
      <c r="O260" s="70"/>
      <c r="P260" s="70"/>
      <c r="Q260" s="70"/>
      <c r="R260" s="70"/>
      <c r="S260" s="70"/>
      <c r="T260" s="70"/>
    </row>
    <row r="261">
      <c r="A261" s="71"/>
      <c r="B261" s="72"/>
      <c r="C261" s="92"/>
      <c r="D261" s="92"/>
      <c r="E261" s="92"/>
      <c r="F261" s="93"/>
    </row>
    <row r="262">
      <c r="A262" s="71"/>
      <c r="B262" s="72"/>
      <c r="C262" s="92"/>
      <c r="D262" s="92"/>
      <c r="E262" s="92"/>
      <c r="F262" s="93"/>
    </row>
    <row r="263">
      <c r="A263" s="71"/>
      <c r="B263" s="72"/>
      <c r="C263" s="92"/>
      <c r="D263" s="92"/>
      <c r="E263" s="92"/>
      <c r="F263" s="93"/>
    </row>
    <row r="264">
      <c r="A264" s="71"/>
      <c r="B264" s="72"/>
      <c r="C264" s="92"/>
      <c r="D264" s="92"/>
      <c r="E264" s="92"/>
      <c r="F264" s="93"/>
    </row>
    <row r="265">
      <c r="A265" s="71"/>
      <c r="B265" s="72"/>
      <c r="C265" s="92"/>
      <c r="D265" s="92"/>
      <c r="E265" s="92"/>
      <c r="F265" s="93"/>
    </row>
    <row r="266">
      <c r="A266" s="71"/>
      <c r="B266" s="72"/>
      <c r="C266" s="92"/>
      <c r="D266" s="92"/>
      <c r="E266" s="92"/>
      <c r="F266" s="93"/>
    </row>
    <row r="267">
      <c r="A267" s="71"/>
      <c r="B267" s="72"/>
      <c r="C267" s="92"/>
      <c r="D267" s="92"/>
      <c r="E267" s="92"/>
      <c r="F267" s="93"/>
    </row>
    <row r="268">
      <c r="A268" s="71"/>
      <c r="B268" s="72"/>
      <c r="C268" s="92"/>
      <c r="D268" s="92"/>
      <c r="E268" s="92"/>
      <c r="F268" s="93"/>
    </row>
    <row r="269">
      <c r="A269" s="71"/>
      <c r="B269" s="72"/>
      <c r="C269" s="92"/>
      <c r="D269" s="92"/>
      <c r="E269" s="92"/>
      <c r="F269" s="93"/>
    </row>
    <row r="270">
      <c r="A270" s="71"/>
      <c r="B270" s="72"/>
      <c r="C270" s="92"/>
      <c r="D270" s="92"/>
      <c r="E270" s="92"/>
      <c r="F270" s="93"/>
    </row>
    <row r="271">
      <c r="A271" s="71"/>
      <c r="B271" s="72"/>
      <c r="C271" s="92"/>
      <c r="D271" s="92"/>
      <c r="E271" s="92"/>
      <c r="F271" s="93"/>
    </row>
    <row r="272">
      <c r="A272" s="71"/>
      <c r="B272" s="72"/>
      <c r="C272" s="92"/>
      <c r="D272" s="92"/>
      <c r="E272" s="92"/>
      <c r="F272" s="93"/>
    </row>
    <row r="273">
      <c r="A273" s="71"/>
      <c r="B273" s="72"/>
      <c r="C273" s="92"/>
      <c r="D273" s="92"/>
      <c r="E273" s="92"/>
      <c r="F273" s="93"/>
    </row>
    <row r="274">
      <c r="A274" s="71"/>
      <c r="B274" s="72"/>
      <c r="C274" s="92"/>
      <c r="D274" s="92"/>
      <c r="E274" s="92"/>
      <c r="F274" s="93"/>
    </row>
    <row r="275">
      <c r="A275" s="71"/>
      <c r="B275" s="72"/>
      <c r="C275" s="92"/>
      <c r="D275" s="92"/>
      <c r="E275" s="92"/>
      <c r="F275" s="93"/>
    </row>
    <row r="276">
      <c r="A276" s="71"/>
      <c r="B276" s="72"/>
      <c r="C276" s="92"/>
      <c r="D276" s="92"/>
      <c r="E276" s="92"/>
      <c r="F276" s="93"/>
    </row>
    <row r="277">
      <c r="A277" s="71"/>
      <c r="B277" s="72"/>
      <c r="C277" s="92"/>
      <c r="D277" s="92"/>
      <c r="E277" s="92"/>
      <c r="F277" s="93"/>
    </row>
    <row r="278">
      <c r="A278" s="71"/>
      <c r="B278" s="72"/>
      <c r="C278" s="92"/>
      <c r="D278" s="92"/>
      <c r="E278" s="92"/>
      <c r="F278" s="93"/>
    </row>
    <row r="279">
      <c r="A279" s="71"/>
      <c r="B279" s="72"/>
      <c r="C279" s="92"/>
      <c r="D279" s="92"/>
      <c r="E279" s="92"/>
      <c r="F279" s="93"/>
    </row>
    <row r="280">
      <c r="A280" s="71"/>
      <c r="B280" s="72"/>
      <c r="C280" s="92"/>
      <c r="D280" s="92"/>
      <c r="E280" s="92"/>
      <c r="F280" s="93"/>
    </row>
    <row r="281">
      <c r="A281" s="71"/>
      <c r="B281" s="72"/>
      <c r="C281" s="92"/>
      <c r="D281" s="92"/>
      <c r="E281" s="92"/>
      <c r="F281" s="93"/>
    </row>
    <row r="282">
      <c r="A282" s="71"/>
      <c r="B282" s="72"/>
      <c r="C282" s="92"/>
      <c r="D282" s="92"/>
      <c r="E282" s="92"/>
      <c r="F282" s="93"/>
    </row>
    <row r="283">
      <c r="A283" s="71"/>
      <c r="B283" s="72"/>
      <c r="C283" s="92"/>
      <c r="D283" s="92"/>
      <c r="E283" s="92"/>
      <c r="F283" s="93"/>
    </row>
    <row r="284">
      <c r="A284" s="71"/>
      <c r="B284" s="72"/>
      <c r="C284" s="92"/>
      <c r="D284" s="92"/>
      <c r="E284" s="92"/>
      <c r="F284" s="93"/>
    </row>
    <row r="285">
      <c r="A285" s="71"/>
      <c r="B285" s="72"/>
      <c r="C285" s="92"/>
      <c r="D285" s="92"/>
      <c r="E285" s="92"/>
      <c r="F285" s="93"/>
    </row>
    <row r="286">
      <c r="A286" s="71"/>
      <c r="B286" s="72"/>
      <c r="C286" s="92"/>
      <c r="D286" s="92"/>
      <c r="E286" s="92"/>
      <c r="F286" s="93"/>
    </row>
    <row r="287">
      <c r="A287" s="71"/>
      <c r="B287" s="72"/>
      <c r="C287" s="92"/>
      <c r="D287" s="92"/>
      <c r="E287" s="92"/>
      <c r="F287" s="93"/>
    </row>
    <row r="288">
      <c r="A288" s="71"/>
      <c r="B288" s="72"/>
      <c r="C288" s="92"/>
      <c r="D288" s="92"/>
      <c r="E288" s="92"/>
      <c r="F288" s="93"/>
    </row>
    <row r="289">
      <c r="A289" s="71"/>
      <c r="B289" s="72"/>
      <c r="C289" s="92"/>
      <c r="D289" s="92"/>
      <c r="E289" s="92"/>
      <c r="F289" s="93"/>
    </row>
    <row r="290">
      <c r="A290" s="71"/>
      <c r="B290" s="72"/>
      <c r="C290" s="92"/>
      <c r="D290" s="92"/>
      <c r="E290" s="92"/>
      <c r="F290" s="93"/>
    </row>
    <row r="291">
      <c r="A291" s="71"/>
      <c r="B291" s="72"/>
      <c r="C291" s="92"/>
      <c r="D291" s="92"/>
      <c r="E291" s="92"/>
      <c r="F291" s="93"/>
    </row>
    <row r="292">
      <c r="A292" s="71"/>
      <c r="B292" s="72"/>
      <c r="C292" s="92"/>
      <c r="D292" s="92"/>
      <c r="E292" s="92"/>
      <c r="F292" s="93"/>
    </row>
    <row r="293">
      <c r="A293" s="71"/>
      <c r="B293" s="72"/>
      <c r="C293" s="92"/>
      <c r="D293" s="92"/>
      <c r="E293" s="92"/>
      <c r="F293" s="93"/>
    </row>
    <row r="294">
      <c r="A294" s="71"/>
      <c r="B294" s="72"/>
      <c r="C294" s="92"/>
      <c r="D294" s="92"/>
      <c r="E294" s="92"/>
      <c r="F294" s="93"/>
    </row>
    <row r="295">
      <c r="A295" s="71"/>
      <c r="B295" s="72"/>
      <c r="C295" s="92"/>
      <c r="D295" s="92"/>
      <c r="E295" s="92"/>
      <c r="F295" s="93"/>
    </row>
    <row r="296">
      <c r="A296" s="71"/>
      <c r="B296" s="72"/>
      <c r="C296" s="92"/>
      <c r="D296" s="92"/>
      <c r="E296" s="92"/>
      <c r="F296" s="93"/>
    </row>
    <row r="297">
      <c r="A297" s="71"/>
      <c r="B297" s="72"/>
      <c r="C297" s="92"/>
      <c r="D297" s="92"/>
      <c r="E297" s="92"/>
      <c r="F297" s="93"/>
    </row>
    <row r="298">
      <c r="A298" s="71"/>
      <c r="B298" s="72"/>
      <c r="C298" s="92"/>
      <c r="D298" s="92"/>
      <c r="E298" s="92"/>
      <c r="F298" s="93"/>
    </row>
    <row r="299">
      <c r="A299" s="71"/>
      <c r="B299" s="72"/>
      <c r="C299" s="92"/>
      <c r="D299" s="92"/>
      <c r="E299" s="92"/>
      <c r="F299" s="93"/>
    </row>
    <row r="300">
      <c r="A300" s="71"/>
      <c r="B300" s="72"/>
      <c r="C300" s="92"/>
      <c r="D300" s="92"/>
      <c r="E300" s="92"/>
      <c r="F300" s="93"/>
    </row>
    <row r="301">
      <c r="A301" s="71"/>
      <c r="B301" s="72"/>
      <c r="C301" s="92"/>
      <c r="D301" s="92"/>
      <c r="E301" s="92"/>
      <c r="F301" s="93"/>
    </row>
    <row r="302">
      <c r="A302" s="71"/>
      <c r="B302" s="72"/>
      <c r="C302" s="92"/>
      <c r="D302" s="92"/>
      <c r="E302" s="92"/>
      <c r="F302" s="93"/>
    </row>
    <row r="303">
      <c r="A303" s="71"/>
      <c r="B303" s="72"/>
      <c r="C303" s="92"/>
      <c r="D303" s="92"/>
      <c r="E303" s="92"/>
      <c r="F303" s="93"/>
    </row>
    <row r="304">
      <c r="A304" s="71"/>
      <c r="B304" s="72"/>
      <c r="C304" s="92"/>
      <c r="D304" s="92"/>
      <c r="E304" s="92"/>
      <c r="F304" s="93"/>
    </row>
    <row r="305">
      <c r="A305" s="71"/>
      <c r="B305" s="72"/>
      <c r="C305" s="92"/>
      <c r="D305" s="92"/>
      <c r="E305" s="92"/>
      <c r="F305" s="93"/>
    </row>
    <row r="306">
      <c r="A306" s="71"/>
      <c r="B306" s="72"/>
      <c r="C306" s="92"/>
      <c r="D306" s="92"/>
      <c r="E306" s="92"/>
      <c r="F306" s="93"/>
    </row>
    <row r="307">
      <c r="A307" s="71"/>
      <c r="B307" s="72"/>
      <c r="C307" s="92"/>
      <c r="D307" s="92"/>
      <c r="E307" s="92"/>
      <c r="F307" s="93"/>
    </row>
    <row r="308">
      <c r="A308" s="71"/>
      <c r="B308" s="72"/>
      <c r="C308" s="92"/>
      <c r="D308" s="92"/>
      <c r="E308" s="92"/>
      <c r="F308" s="93"/>
    </row>
    <row r="309">
      <c r="A309" s="71"/>
      <c r="B309" s="72"/>
      <c r="C309" s="92"/>
      <c r="D309" s="92"/>
      <c r="E309" s="92"/>
      <c r="F309" s="93"/>
    </row>
    <row r="310">
      <c r="A310" s="71"/>
      <c r="B310" s="72"/>
      <c r="C310" s="92"/>
      <c r="D310" s="92"/>
      <c r="E310" s="92"/>
      <c r="F310" s="93"/>
    </row>
    <row r="311">
      <c r="A311" s="71"/>
      <c r="B311" s="72"/>
      <c r="C311" s="92"/>
      <c r="D311" s="92"/>
      <c r="E311" s="92"/>
      <c r="F311" s="93"/>
    </row>
    <row r="312">
      <c r="A312" s="71"/>
      <c r="B312" s="72"/>
      <c r="C312" s="92"/>
      <c r="D312" s="92"/>
      <c r="E312" s="92"/>
      <c r="F312" s="93"/>
    </row>
    <row r="313">
      <c r="A313" s="71"/>
      <c r="B313" s="72"/>
      <c r="C313" s="92"/>
      <c r="D313" s="92"/>
      <c r="E313" s="92"/>
      <c r="F313" s="93"/>
    </row>
    <row r="314">
      <c r="A314" s="71"/>
      <c r="B314" s="72"/>
      <c r="C314" s="92"/>
      <c r="D314" s="92"/>
      <c r="E314" s="92"/>
      <c r="F314" s="93"/>
    </row>
    <row r="315">
      <c r="A315" s="71"/>
      <c r="B315" s="72"/>
      <c r="C315" s="92"/>
      <c r="D315" s="92"/>
      <c r="E315" s="92"/>
      <c r="F315" s="93"/>
    </row>
    <row r="316">
      <c r="A316" s="71"/>
      <c r="B316" s="72"/>
      <c r="C316" s="92"/>
      <c r="D316" s="92"/>
      <c r="E316" s="92"/>
      <c r="F316" s="93"/>
    </row>
    <row r="317">
      <c r="A317" s="71"/>
      <c r="B317" s="72"/>
      <c r="C317" s="92"/>
      <c r="D317" s="92"/>
      <c r="E317" s="92"/>
      <c r="F317" s="93"/>
    </row>
    <row r="318">
      <c r="A318" s="71"/>
      <c r="B318" s="72"/>
      <c r="C318" s="92"/>
      <c r="D318" s="92"/>
      <c r="E318" s="92"/>
      <c r="F318" s="93"/>
    </row>
    <row r="319">
      <c r="A319" s="71"/>
      <c r="B319" s="72"/>
      <c r="C319" s="92"/>
      <c r="D319" s="92"/>
      <c r="E319" s="92"/>
      <c r="F319" s="93"/>
    </row>
    <row r="320">
      <c r="A320" s="71"/>
      <c r="B320" s="72"/>
      <c r="C320" s="92"/>
      <c r="D320" s="92"/>
      <c r="E320" s="92"/>
      <c r="F320" s="93"/>
    </row>
    <row r="321">
      <c r="A321" s="71"/>
      <c r="B321" s="72"/>
      <c r="C321" s="92"/>
      <c r="D321" s="92"/>
      <c r="E321" s="92"/>
      <c r="F321" s="93"/>
    </row>
    <row r="322">
      <c r="A322" s="71"/>
      <c r="B322" s="72"/>
      <c r="C322" s="92"/>
      <c r="D322" s="92"/>
      <c r="E322" s="92"/>
      <c r="F322" s="93"/>
    </row>
    <row r="323">
      <c r="A323" s="71"/>
      <c r="B323" s="72"/>
      <c r="C323" s="92"/>
      <c r="D323" s="92"/>
      <c r="E323" s="92"/>
      <c r="F323" s="93"/>
    </row>
    <row r="324">
      <c r="A324" s="71"/>
      <c r="B324" s="72"/>
      <c r="C324" s="92"/>
      <c r="D324" s="92"/>
      <c r="E324" s="92"/>
      <c r="F324" s="93"/>
    </row>
    <row r="325">
      <c r="A325" s="71"/>
      <c r="B325" s="72"/>
      <c r="C325" s="92"/>
      <c r="D325" s="92"/>
      <c r="E325" s="92"/>
      <c r="F325" s="93"/>
    </row>
    <row r="326">
      <c r="A326" s="71"/>
      <c r="B326" s="72"/>
      <c r="C326" s="92"/>
      <c r="D326" s="92"/>
      <c r="E326" s="92"/>
      <c r="F326" s="93"/>
    </row>
    <row r="327">
      <c r="A327" s="71"/>
      <c r="B327" s="72"/>
      <c r="C327" s="92"/>
      <c r="D327" s="92"/>
      <c r="E327" s="92"/>
      <c r="F327" s="93"/>
    </row>
    <row r="328">
      <c r="A328" s="71"/>
      <c r="B328" s="72"/>
      <c r="C328" s="92"/>
      <c r="D328" s="92"/>
      <c r="E328" s="92"/>
      <c r="F328" s="93"/>
    </row>
    <row r="329">
      <c r="A329" s="71"/>
      <c r="B329" s="72"/>
      <c r="C329" s="92"/>
      <c r="D329" s="92"/>
      <c r="E329" s="92"/>
      <c r="F329" s="93"/>
    </row>
    <row r="330">
      <c r="A330" s="71"/>
      <c r="B330" s="72"/>
      <c r="C330" s="92"/>
      <c r="D330" s="92"/>
      <c r="E330" s="92"/>
      <c r="F330" s="93"/>
    </row>
    <row r="331">
      <c r="A331" s="71"/>
      <c r="B331" s="72"/>
      <c r="C331" s="92"/>
      <c r="D331" s="92"/>
      <c r="E331" s="92"/>
      <c r="F331" s="93"/>
    </row>
    <row r="332">
      <c r="A332" s="71"/>
      <c r="B332" s="72"/>
      <c r="C332" s="92"/>
      <c r="D332" s="92"/>
      <c r="E332" s="92"/>
      <c r="F332" s="93"/>
    </row>
    <row r="333">
      <c r="A333" s="71"/>
      <c r="B333" s="72"/>
      <c r="C333" s="92"/>
      <c r="D333" s="92"/>
      <c r="E333" s="92"/>
      <c r="F333" s="93"/>
    </row>
    <row r="334">
      <c r="A334" s="71"/>
      <c r="B334" s="72"/>
      <c r="C334" s="92"/>
      <c r="D334" s="92"/>
      <c r="E334" s="92"/>
      <c r="F334" s="93"/>
    </row>
    <row r="335">
      <c r="A335" s="71"/>
      <c r="B335" s="72"/>
      <c r="C335" s="92"/>
      <c r="D335" s="92"/>
      <c r="E335" s="92"/>
      <c r="F335" s="93"/>
    </row>
    <row r="336">
      <c r="A336" s="71"/>
      <c r="B336" s="72"/>
      <c r="C336" s="92"/>
      <c r="D336" s="92"/>
      <c r="E336" s="92"/>
      <c r="F336" s="93"/>
    </row>
    <row r="337">
      <c r="A337" s="71"/>
      <c r="B337" s="72"/>
      <c r="C337" s="92"/>
      <c r="D337" s="92"/>
      <c r="E337" s="92"/>
      <c r="F337" s="93"/>
    </row>
    <row r="338">
      <c r="A338" s="71"/>
      <c r="B338" s="72"/>
      <c r="C338" s="92"/>
      <c r="D338" s="92"/>
      <c r="E338" s="92"/>
      <c r="F338" s="93"/>
    </row>
    <row r="339">
      <c r="A339" s="71"/>
      <c r="B339" s="72"/>
      <c r="C339" s="92"/>
      <c r="D339" s="92"/>
      <c r="E339" s="92"/>
      <c r="F339" s="93"/>
    </row>
    <row r="340">
      <c r="A340" s="71"/>
      <c r="B340" s="72"/>
      <c r="C340" s="92"/>
      <c r="D340" s="92"/>
      <c r="E340" s="92"/>
      <c r="F340" s="93"/>
    </row>
    <row r="341">
      <c r="A341" s="71"/>
      <c r="B341" s="72"/>
      <c r="C341" s="92"/>
      <c r="D341" s="92"/>
      <c r="E341" s="92"/>
      <c r="F341" s="93"/>
    </row>
    <row r="342">
      <c r="A342" s="71"/>
      <c r="B342" s="72"/>
      <c r="C342" s="92"/>
      <c r="D342" s="92"/>
      <c r="E342" s="92"/>
      <c r="F342" s="93"/>
    </row>
    <row r="343">
      <c r="A343" s="71"/>
      <c r="B343" s="72"/>
      <c r="C343" s="92"/>
      <c r="D343" s="92"/>
      <c r="E343" s="92"/>
      <c r="F343" s="93"/>
    </row>
    <row r="344">
      <c r="A344" s="71"/>
      <c r="B344" s="72"/>
      <c r="C344" s="92"/>
      <c r="D344" s="92"/>
      <c r="E344" s="92"/>
      <c r="F344" s="93"/>
    </row>
    <row r="345">
      <c r="A345" s="71"/>
      <c r="B345" s="72"/>
      <c r="C345" s="92"/>
      <c r="D345" s="92"/>
      <c r="E345" s="92"/>
      <c r="F345" s="93"/>
    </row>
    <row r="346">
      <c r="A346" s="71"/>
      <c r="B346" s="72"/>
      <c r="C346" s="92"/>
      <c r="D346" s="92"/>
      <c r="E346" s="92"/>
      <c r="F346" s="93"/>
    </row>
    <row r="347">
      <c r="A347" s="71"/>
      <c r="B347" s="72"/>
      <c r="C347" s="92"/>
      <c r="D347" s="92"/>
      <c r="E347" s="92"/>
      <c r="F347" s="93"/>
    </row>
    <row r="348">
      <c r="A348" s="71"/>
      <c r="B348" s="72"/>
      <c r="C348" s="92"/>
      <c r="D348" s="92"/>
      <c r="E348" s="92"/>
      <c r="F348" s="93"/>
    </row>
    <row r="349">
      <c r="A349" s="71"/>
      <c r="B349" s="72"/>
      <c r="C349" s="92"/>
      <c r="D349" s="92"/>
      <c r="E349" s="92"/>
      <c r="F349" s="93"/>
    </row>
    <row r="350">
      <c r="A350" s="71"/>
      <c r="B350" s="72"/>
      <c r="C350" s="92"/>
      <c r="D350" s="92"/>
      <c r="E350" s="92"/>
      <c r="F350" s="93"/>
    </row>
    <row r="351">
      <c r="A351" s="71"/>
      <c r="B351" s="72"/>
      <c r="C351" s="92"/>
      <c r="D351" s="92"/>
      <c r="E351" s="92"/>
      <c r="F351" s="93"/>
    </row>
    <row r="352">
      <c r="A352" s="71"/>
      <c r="B352" s="72"/>
      <c r="C352" s="92"/>
      <c r="D352" s="92"/>
      <c r="E352" s="92"/>
      <c r="F352" s="93"/>
    </row>
    <row r="353">
      <c r="A353" s="71"/>
      <c r="B353" s="72"/>
      <c r="C353" s="92"/>
      <c r="D353" s="92"/>
      <c r="E353" s="92"/>
      <c r="F353" s="93"/>
    </row>
    <row r="354">
      <c r="A354" s="71"/>
      <c r="B354" s="72"/>
      <c r="C354" s="92"/>
      <c r="D354" s="92"/>
      <c r="E354" s="92"/>
      <c r="F354" s="93"/>
    </row>
    <row r="355">
      <c r="A355" s="71"/>
      <c r="B355" s="72"/>
      <c r="C355" s="92"/>
      <c r="D355" s="92"/>
      <c r="E355" s="92"/>
      <c r="F355" s="93"/>
    </row>
    <row r="356">
      <c r="A356" s="71"/>
      <c r="B356" s="72"/>
      <c r="C356" s="92"/>
      <c r="D356" s="92"/>
      <c r="E356" s="92"/>
      <c r="F356" s="93"/>
    </row>
    <row r="357">
      <c r="A357" s="71"/>
      <c r="B357" s="72"/>
      <c r="C357" s="92"/>
      <c r="D357" s="92"/>
      <c r="E357" s="92"/>
      <c r="F357" s="93"/>
    </row>
    <row r="358">
      <c r="A358" s="71"/>
      <c r="B358" s="72"/>
      <c r="C358" s="92"/>
      <c r="D358" s="92"/>
      <c r="E358" s="92"/>
      <c r="F358" s="93"/>
    </row>
    <row r="359">
      <c r="A359" s="71"/>
      <c r="B359" s="72"/>
      <c r="C359" s="92"/>
      <c r="D359" s="92"/>
      <c r="E359" s="92"/>
      <c r="F359" s="93"/>
    </row>
    <row r="360">
      <c r="A360" s="71"/>
      <c r="B360" s="72"/>
      <c r="C360" s="92"/>
      <c r="D360" s="92"/>
      <c r="E360" s="92"/>
      <c r="F360" s="93"/>
    </row>
    <row r="361">
      <c r="A361" s="71"/>
      <c r="B361" s="72"/>
      <c r="C361" s="92"/>
      <c r="D361" s="92"/>
      <c r="E361" s="92"/>
      <c r="F361" s="93"/>
    </row>
    <row r="362">
      <c r="A362" s="71"/>
      <c r="B362" s="72"/>
      <c r="C362" s="92"/>
      <c r="D362" s="92"/>
      <c r="E362" s="92"/>
      <c r="F362" s="93"/>
    </row>
    <row r="363">
      <c r="A363" s="71"/>
      <c r="B363" s="72"/>
      <c r="C363" s="92"/>
      <c r="D363" s="92"/>
      <c r="E363" s="92"/>
      <c r="F363" s="93"/>
    </row>
    <row r="364">
      <c r="A364" s="71"/>
      <c r="B364" s="72"/>
      <c r="C364" s="92"/>
      <c r="D364" s="92"/>
      <c r="E364" s="92"/>
      <c r="F364" s="93"/>
    </row>
    <row r="365">
      <c r="A365" s="71"/>
      <c r="B365" s="72"/>
      <c r="C365" s="92"/>
      <c r="D365" s="92"/>
      <c r="E365" s="92"/>
      <c r="F365" s="93"/>
    </row>
    <row r="366">
      <c r="A366" s="71"/>
      <c r="B366" s="72"/>
      <c r="C366" s="92"/>
      <c r="D366" s="92"/>
      <c r="E366" s="92"/>
      <c r="F366" s="93"/>
    </row>
    <row r="367">
      <c r="A367" s="71"/>
      <c r="B367" s="72"/>
      <c r="C367" s="92"/>
      <c r="D367" s="92"/>
      <c r="E367" s="92"/>
      <c r="F367" s="93"/>
    </row>
    <row r="368">
      <c r="A368" s="71"/>
      <c r="B368" s="72"/>
      <c r="C368" s="92"/>
      <c r="D368" s="92"/>
      <c r="E368" s="92"/>
      <c r="F368" s="93"/>
    </row>
    <row r="369">
      <c r="A369" s="71"/>
      <c r="B369" s="72"/>
      <c r="C369" s="92"/>
      <c r="D369" s="92"/>
      <c r="E369" s="92"/>
      <c r="F369" s="93"/>
    </row>
    <row r="370">
      <c r="A370" s="71"/>
      <c r="B370" s="72"/>
      <c r="C370" s="92"/>
      <c r="D370" s="92"/>
      <c r="E370" s="92"/>
      <c r="F370" s="93"/>
    </row>
    <row r="371">
      <c r="A371" s="71"/>
      <c r="B371" s="72"/>
      <c r="C371" s="92"/>
      <c r="D371" s="92"/>
      <c r="E371" s="92"/>
      <c r="F371" s="93"/>
    </row>
    <row r="372">
      <c r="A372" s="71"/>
      <c r="B372" s="72"/>
      <c r="C372" s="92"/>
      <c r="D372" s="92"/>
      <c r="E372" s="92"/>
      <c r="F372" s="93"/>
    </row>
    <row r="373">
      <c r="A373" s="71"/>
      <c r="B373" s="72"/>
      <c r="C373" s="92"/>
      <c r="D373" s="92"/>
      <c r="E373" s="92"/>
      <c r="F373" s="93"/>
    </row>
    <row r="374">
      <c r="A374" s="71"/>
      <c r="B374" s="72"/>
      <c r="C374" s="92"/>
      <c r="D374" s="92"/>
      <c r="E374" s="92"/>
      <c r="F374" s="93"/>
    </row>
    <row r="375">
      <c r="A375" s="71"/>
      <c r="B375" s="72"/>
      <c r="C375" s="92"/>
      <c r="D375" s="92"/>
      <c r="E375" s="92"/>
      <c r="F375" s="93"/>
    </row>
    <row r="376">
      <c r="A376" s="71"/>
      <c r="B376" s="72"/>
      <c r="C376" s="92"/>
      <c r="D376" s="92"/>
      <c r="E376" s="92"/>
      <c r="F376" s="93"/>
    </row>
    <row r="377">
      <c r="A377" s="71"/>
      <c r="B377" s="72"/>
      <c r="C377" s="92"/>
      <c r="D377" s="92"/>
      <c r="E377" s="92"/>
      <c r="F377" s="93"/>
    </row>
    <row r="378">
      <c r="A378" s="71"/>
      <c r="B378" s="72"/>
      <c r="C378" s="92"/>
      <c r="D378" s="92"/>
      <c r="E378" s="92"/>
      <c r="F378" s="93"/>
    </row>
    <row r="379">
      <c r="A379" s="71"/>
      <c r="B379" s="72"/>
      <c r="C379" s="92"/>
      <c r="D379" s="92"/>
      <c r="E379" s="92"/>
      <c r="F379" s="93"/>
    </row>
    <row r="380">
      <c r="A380" s="71"/>
      <c r="B380" s="72"/>
      <c r="C380" s="92"/>
      <c r="D380" s="92"/>
      <c r="E380" s="92"/>
      <c r="F380" s="93"/>
    </row>
    <row r="381">
      <c r="A381" s="71"/>
      <c r="B381" s="72"/>
      <c r="C381" s="92"/>
      <c r="D381" s="92"/>
      <c r="E381" s="92"/>
      <c r="F381" s="93"/>
    </row>
    <row r="382">
      <c r="A382" s="71"/>
      <c r="B382" s="72"/>
      <c r="C382" s="92"/>
      <c r="D382" s="92"/>
      <c r="E382" s="92"/>
      <c r="F382" s="93"/>
    </row>
    <row r="383">
      <c r="A383" s="71"/>
      <c r="B383" s="72"/>
      <c r="C383" s="92"/>
      <c r="D383" s="92"/>
      <c r="E383" s="92"/>
      <c r="F383" s="93"/>
    </row>
    <row r="384">
      <c r="A384" s="71"/>
      <c r="B384" s="72"/>
      <c r="C384" s="92"/>
      <c r="D384" s="92"/>
      <c r="E384" s="92"/>
      <c r="F384" s="93"/>
    </row>
    <row r="385">
      <c r="A385" s="71"/>
      <c r="B385" s="72"/>
      <c r="C385" s="92"/>
      <c r="D385" s="92"/>
      <c r="E385" s="92"/>
      <c r="F385" s="93"/>
    </row>
    <row r="386">
      <c r="A386" s="71"/>
      <c r="B386" s="72"/>
      <c r="C386" s="92"/>
      <c r="D386" s="92"/>
      <c r="E386" s="92"/>
      <c r="F386" s="93"/>
    </row>
    <row r="387">
      <c r="A387" s="71"/>
      <c r="B387" s="72"/>
      <c r="C387" s="92"/>
      <c r="D387" s="92"/>
      <c r="E387" s="92"/>
      <c r="F387" s="93"/>
    </row>
    <row r="388">
      <c r="A388" s="71"/>
      <c r="B388" s="72"/>
      <c r="C388" s="92"/>
      <c r="D388" s="92"/>
      <c r="E388" s="92"/>
      <c r="F388" s="93"/>
    </row>
    <row r="389">
      <c r="A389" s="71"/>
      <c r="B389" s="72"/>
      <c r="C389" s="92"/>
      <c r="D389" s="92"/>
      <c r="E389" s="92"/>
      <c r="F389" s="93"/>
    </row>
    <row r="390">
      <c r="A390" s="71"/>
      <c r="B390" s="72"/>
      <c r="C390" s="92"/>
      <c r="D390" s="92"/>
      <c r="E390" s="92"/>
      <c r="F390" s="93"/>
    </row>
    <row r="391">
      <c r="A391" s="71"/>
      <c r="B391" s="72"/>
      <c r="C391" s="92"/>
      <c r="D391" s="92"/>
      <c r="E391" s="92"/>
      <c r="F391" s="93"/>
    </row>
    <row r="392">
      <c r="A392" s="71"/>
      <c r="B392" s="72"/>
      <c r="C392" s="92"/>
      <c r="D392" s="92"/>
      <c r="E392" s="92"/>
      <c r="F392" s="93"/>
    </row>
    <row r="393">
      <c r="A393" s="71"/>
      <c r="B393" s="72"/>
      <c r="C393" s="92"/>
      <c r="D393" s="92"/>
      <c r="E393" s="92"/>
      <c r="F393" s="93"/>
    </row>
    <row r="394">
      <c r="A394" s="71"/>
      <c r="B394" s="72"/>
      <c r="C394" s="92"/>
      <c r="D394" s="92"/>
      <c r="E394" s="92"/>
      <c r="F394" s="93"/>
    </row>
    <row r="395">
      <c r="A395" s="71"/>
      <c r="B395" s="72"/>
      <c r="C395" s="92"/>
      <c r="D395" s="92"/>
      <c r="E395" s="92"/>
      <c r="F395" s="93"/>
    </row>
    <row r="396">
      <c r="A396" s="71"/>
      <c r="B396" s="72"/>
      <c r="C396" s="92"/>
      <c r="D396" s="92"/>
      <c r="E396" s="92"/>
      <c r="F396" s="93"/>
    </row>
    <row r="397">
      <c r="A397" s="71"/>
      <c r="B397" s="72"/>
      <c r="C397" s="92"/>
      <c r="D397" s="92"/>
      <c r="E397" s="92"/>
      <c r="F397" s="93"/>
    </row>
    <row r="398">
      <c r="A398" s="71"/>
      <c r="B398" s="72"/>
      <c r="C398" s="92"/>
      <c r="D398" s="92"/>
      <c r="E398" s="92"/>
      <c r="F398" s="93"/>
    </row>
    <row r="399">
      <c r="A399" s="71"/>
      <c r="B399" s="72"/>
      <c r="C399" s="92"/>
      <c r="D399" s="92"/>
      <c r="E399" s="92"/>
      <c r="F399" s="93"/>
    </row>
    <row r="400">
      <c r="A400" s="71"/>
      <c r="B400" s="72"/>
      <c r="C400" s="92"/>
      <c r="D400" s="92"/>
      <c r="E400" s="92"/>
      <c r="F400" s="93"/>
    </row>
    <row r="401">
      <c r="A401" s="71"/>
      <c r="B401" s="72"/>
      <c r="C401" s="92"/>
      <c r="D401" s="92"/>
      <c r="E401" s="92"/>
      <c r="F401" s="93"/>
    </row>
    <row r="402">
      <c r="A402" s="71"/>
      <c r="B402" s="72"/>
      <c r="C402" s="92"/>
      <c r="D402" s="92"/>
      <c r="E402" s="92"/>
      <c r="F402" s="93"/>
    </row>
    <row r="403">
      <c r="A403" s="71"/>
      <c r="B403" s="72"/>
      <c r="C403" s="92"/>
      <c r="D403" s="92"/>
      <c r="E403" s="92"/>
      <c r="F403" s="93"/>
    </row>
    <row r="404">
      <c r="A404" s="71"/>
      <c r="B404" s="72"/>
      <c r="C404" s="92"/>
      <c r="D404" s="92"/>
      <c r="E404" s="92"/>
      <c r="F404" s="93"/>
    </row>
    <row r="405">
      <c r="A405" s="71"/>
      <c r="B405" s="72"/>
      <c r="C405" s="92"/>
      <c r="D405" s="92"/>
      <c r="E405" s="92"/>
      <c r="F405" s="93"/>
    </row>
    <row r="406">
      <c r="A406" s="71"/>
      <c r="B406" s="72"/>
      <c r="C406" s="92"/>
      <c r="D406" s="92"/>
      <c r="E406" s="92"/>
      <c r="F406" s="93"/>
    </row>
    <row r="407">
      <c r="A407" s="71"/>
      <c r="B407" s="72"/>
      <c r="C407" s="92"/>
      <c r="D407" s="92"/>
      <c r="E407" s="92"/>
      <c r="F407" s="93"/>
    </row>
    <row r="408">
      <c r="A408" s="71"/>
      <c r="B408" s="72"/>
      <c r="C408" s="92"/>
      <c r="D408" s="92"/>
      <c r="E408" s="92"/>
      <c r="F408" s="93"/>
    </row>
    <row r="409">
      <c r="A409" s="71"/>
      <c r="B409" s="72"/>
      <c r="C409" s="92"/>
      <c r="D409" s="92"/>
      <c r="E409" s="92"/>
      <c r="F409" s="93"/>
    </row>
    <row r="410">
      <c r="A410" s="71"/>
      <c r="B410" s="72"/>
      <c r="C410" s="92"/>
      <c r="D410" s="92"/>
      <c r="E410" s="92"/>
      <c r="F410" s="93"/>
    </row>
    <row r="411">
      <c r="A411" s="71"/>
      <c r="B411" s="72"/>
      <c r="C411" s="92"/>
      <c r="D411" s="92"/>
      <c r="E411" s="92"/>
      <c r="F411" s="93"/>
    </row>
    <row r="412">
      <c r="A412" s="71"/>
      <c r="B412" s="72"/>
      <c r="C412" s="92"/>
      <c r="D412" s="92"/>
      <c r="E412" s="92"/>
      <c r="F412" s="93"/>
    </row>
    <row r="413">
      <c r="A413" s="71"/>
      <c r="B413" s="72"/>
      <c r="C413" s="92"/>
      <c r="D413" s="92"/>
      <c r="E413" s="92"/>
      <c r="F413" s="93"/>
    </row>
    <row r="414">
      <c r="A414" s="71"/>
      <c r="B414" s="72"/>
      <c r="C414" s="92"/>
      <c r="D414" s="92"/>
      <c r="E414" s="92"/>
      <c r="F414" s="93"/>
    </row>
    <row r="415">
      <c r="A415" s="71"/>
      <c r="B415" s="72"/>
      <c r="C415" s="92"/>
      <c r="D415" s="92"/>
      <c r="E415" s="92"/>
      <c r="F415" s="93"/>
    </row>
    <row r="416">
      <c r="A416" s="71"/>
      <c r="B416" s="72"/>
      <c r="C416" s="92"/>
      <c r="D416" s="92"/>
      <c r="E416" s="92"/>
      <c r="F416" s="93"/>
    </row>
    <row r="417">
      <c r="A417" s="71"/>
      <c r="B417" s="72"/>
      <c r="C417" s="92"/>
      <c r="D417" s="92"/>
      <c r="E417" s="92"/>
      <c r="F417" s="93"/>
    </row>
    <row r="418">
      <c r="A418" s="71"/>
      <c r="B418" s="72"/>
      <c r="C418" s="92"/>
      <c r="D418" s="92"/>
      <c r="E418" s="92"/>
      <c r="F418" s="93"/>
    </row>
    <row r="419">
      <c r="A419" s="71"/>
      <c r="B419" s="72"/>
      <c r="C419" s="92"/>
      <c r="D419" s="92"/>
      <c r="E419" s="92"/>
      <c r="F419" s="93"/>
    </row>
    <row r="420">
      <c r="A420" s="71"/>
      <c r="B420" s="72"/>
      <c r="C420" s="92"/>
      <c r="D420" s="92"/>
      <c r="E420" s="92"/>
      <c r="F420" s="93"/>
    </row>
    <row r="421">
      <c r="A421" s="71"/>
      <c r="B421" s="72"/>
      <c r="C421" s="92"/>
      <c r="D421" s="92"/>
      <c r="E421" s="92"/>
      <c r="F421" s="93"/>
    </row>
    <row r="422">
      <c r="A422" s="71"/>
      <c r="B422" s="72"/>
      <c r="C422" s="92"/>
      <c r="D422" s="92"/>
      <c r="E422" s="92"/>
      <c r="F422" s="93"/>
    </row>
    <row r="423">
      <c r="A423" s="71"/>
      <c r="B423" s="72"/>
      <c r="C423" s="92"/>
      <c r="D423" s="92"/>
      <c r="E423" s="92"/>
      <c r="F423" s="93"/>
    </row>
    <row r="424">
      <c r="A424" s="71"/>
      <c r="B424" s="72"/>
      <c r="C424" s="92"/>
      <c r="D424" s="92"/>
      <c r="E424" s="92"/>
      <c r="F424" s="93"/>
    </row>
    <row r="425">
      <c r="A425" s="71"/>
      <c r="B425" s="72"/>
      <c r="C425" s="92"/>
      <c r="D425" s="92"/>
      <c r="E425" s="92"/>
      <c r="F425" s="93"/>
    </row>
    <row r="426">
      <c r="A426" s="71"/>
      <c r="B426" s="72"/>
      <c r="C426" s="92"/>
      <c r="D426" s="92"/>
      <c r="E426" s="92"/>
      <c r="F426" s="93"/>
    </row>
    <row r="427">
      <c r="A427" s="71"/>
      <c r="B427" s="72"/>
      <c r="C427" s="92"/>
      <c r="D427" s="92"/>
      <c r="E427" s="92"/>
      <c r="F427" s="93"/>
    </row>
    <row r="428">
      <c r="A428" s="71"/>
      <c r="B428" s="72"/>
      <c r="C428" s="92"/>
      <c r="D428" s="92"/>
      <c r="E428" s="92"/>
      <c r="F428" s="93"/>
    </row>
    <row r="429">
      <c r="A429" s="71"/>
      <c r="B429" s="72"/>
      <c r="C429" s="92"/>
      <c r="D429" s="92"/>
      <c r="E429" s="92"/>
      <c r="F429" s="93"/>
    </row>
    <row r="430">
      <c r="A430" s="71"/>
      <c r="B430" s="72"/>
      <c r="C430" s="92"/>
      <c r="D430" s="92"/>
      <c r="E430" s="92"/>
      <c r="F430" s="93"/>
    </row>
    <row r="431">
      <c r="A431" s="71"/>
      <c r="B431" s="72"/>
      <c r="C431" s="92"/>
      <c r="D431" s="92"/>
      <c r="E431" s="92"/>
      <c r="F431" s="93"/>
    </row>
    <row r="432">
      <c r="A432" s="71"/>
      <c r="B432" s="72"/>
      <c r="C432" s="92"/>
      <c r="D432" s="92"/>
      <c r="E432" s="92"/>
      <c r="F432" s="93"/>
    </row>
    <row r="433">
      <c r="A433" s="71"/>
      <c r="B433" s="72"/>
      <c r="C433" s="92"/>
      <c r="D433" s="92"/>
      <c r="E433" s="92"/>
      <c r="F433" s="93"/>
    </row>
    <row r="434">
      <c r="A434" s="71"/>
      <c r="B434" s="72"/>
      <c r="C434" s="92"/>
      <c r="D434" s="92"/>
      <c r="E434" s="92"/>
      <c r="F434" s="93"/>
    </row>
    <row r="435">
      <c r="A435" s="71"/>
      <c r="B435" s="72"/>
      <c r="C435" s="92"/>
      <c r="D435" s="92"/>
      <c r="E435" s="92"/>
      <c r="F435" s="93"/>
    </row>
    <row r="436">
      <c r="A436" s="71"/>
      <c r="B436" s="72"/>
      <c r="C436" s="92"/>
      <c r="D436" s="92"/>
      <c r="E436" s="92"/>
      <c r="F436" s="93"/>
    </row>
    <row r="437">
      <c r="A437" s="71"/>
      <c r="B437" s="72"/>
      <c r="C437" s="92"/>
      <c r="D437" s="92"/>
      <c r="E437" s="92"/>
      <c r="F437" s="93"/>
    </row>
    <row r="438">
      <c r="A438" s="71"/>
      <c r="B438" s="72"/>
      <c r="C438" s="92"/>
      <c r="D438" s="92"/>
      <c r="E438" s="92"/>
      <c r="F438" s="93"/>
    </row>
    <row r="439">
      <c r="A439" s="71"/>
      <c r="B439" s="72"/>
      <c r="C439" s="92"/>
      <c r="D439" s="92"/>
      <c r="E439" s="92"/>
      <c r="F439" s="93"/>
    </row>
    <row r="440">
      <c r="A440" s="71"/>
      <c r="B440" s="72"/>
      <c r="C440" s="92"/>
      <c r="D440" s="92"/>
      <c r="E440" s="92"/>
      <c r="F440" s="93"/>
    </row>
    <row r="441">
      <c r="A441" s="71"/>
      <c r="B441" s="72"/>
      <c r="C441" s="92"/>
      <c r="D441" s="92"/>
      <c r="E441" s="92"/>
      <c r="F441" s="93"/>
    </row>
    <row r="442">
      <c r="A442" s="71"/>
      <c r="B442" s="72"/>
      <c r="C442" s="92"/>
      <c r="D442" s="92"/>
      <c r="E442" s="92"/>
      <c r="F442" s="93"/>
    </row>
    <row r="443">
      <c r="A443" s="71"/>
      <c r="B443" s="72"/>
      <c r="C443" s="92"/>
      <c r="D443" s="92"/>
      <c r="E443" s="92"/>
      <c r="F443" s="93"/>
    </row>
    <row r="444">
      <c r="A444" s="71"/>
      <c r="B444" s="72"/>
      <c r="C444" s="92"/>
      <c r="D444" s="92"/>
      <c r="E444" s="92"/>
      <c r="F444" s="93"/>
    </row>
    <row r="445">
      <c r="A445" s="71"/>
      <c r="B445" s="72"/>
      <c r="C445" s="92"/>
      <c r="D445" s="92"/>
      <c r="E445" s="92"/>
      <c r="F445" s="93"/>
    </row>
    <row r="446">
      <c r="A446" s="71"/>
      <c r="B446" s="72"/>
      <c r="C446" s="92"/>
      <c r="D446" s="92"/>
      <c r="E446" s="92"/>
      <c r="F446" s="93"/>
    </row>
    <row r="447">
      <c r="A447" s="71"/>
      <c r="B447" s="72"/>
      <c r="C447" s="92"/>
      <c r="D447" s="92"/>
      <c r="E447" s="92"/>
      <c r="F447" s="93"/>
    </row>
    <row r="448">
      <c r="A448" s="71"/>
      <c r="B448" s="72"/>
      <c r="C448" s="92"/>
      <c r="D448" s="92"/>
      <c r="E448" s="92"/>
      <c r="F448" s="93"/>
    </row>
    <row r="449">
      <c r="A449" s="71"/>
      <c r="B449" s="72"/>
      <c r="C449" s="92"/>
      <c r="D449" s="92"/>
      <c r="E449" s="92"/>
      <c r="F449" s="93"/>
    </row>
    <row r="450">
      <c r="A450" s="71"/>
      <c r="B450" s="72"/>
      <c r="C450" s="92"/>
      <c r="D450" s="92"/>
      <c r="E450" s="92"/>
      <c r="F450" s="93"/>
    </row>
    <row r="451">
      <c r="A451" s="71"/>
      <c r="B451" s="72"/>
      <c r="C451" s="92"/>
      <c r="D451" s="92"/>
      <c r="E451" s="92"/>
      <c r="F451" s="93"/>
    </row>
    <row r="452">
      <c r="A452" s="71"/>
      <c r="B452" s="72"/>
      <c r="C452" s="92"/>
      <c r="D452" s="92"/>
      <c r="E452" s="92"/>
      <c r="F452" s="93"/>
    </row>
    <row r="453">
      <c r="A453" s="71"/>
      <c r="B453" s="72"/>
      <c r="C453" s="92"/>
      <c r="D453" s="92"/>
      <c r="E453" s="92"/>
      <c r="F453" s="93"/>
    </row>
    <row r="454">
      <c r="A454" s="71"/>
      <c r="B454" s="72"/>
      <c r="C454" s="92"/>
      <c r="D454" s="92"/>
      <c r="E454" s="92"/>
      <c r="F454" s="93"/>
    </row>
    <row r="455">
      <c r="A455" s="71"/>
      <c r="B455" s="72"/>
      <c r="C455" s="92"/>
      <c r="D455" s="92"/>
      <c r="E455" s="92"/>
      <c r="F455" s="93"/>
    </row>
    <row r="456">
      <c r="A456" s="71"/>
      <c r="B456" s="72"/>
      <c r="C456" s="92"/>
      <c r="D456" s="92"/>
      <c r="E456" s="92"/>
      <c r="F456" s="93"/>
    </row>
    <row r="457">
      <c r="A457" s="71"/>
      <c r="B457" s="72"/>
      <c r="C457" s="92"/>
      <c r="D457" s="92"/>
      <c r="E457" s="92"/>
      <c r="F457" s="93"/>
    </row>
    <row r="458">
      <c r="A458" s="71"/>
      <c r="B458" s="72"/>
      <c r="C458" s="92"/>
      <c r="D458" s="92"/>
      <c r="E458" s="92"/>
      <c r="F458" s="93"/>
    </row>
    <row r="459">
      <c r="A459" s="71"/>
      <c r="B459" s="72"/>
      <c r="C459" s="92"/>
      <c r="D459" s="92"/>
      <c r="E459" s="92"/>
      <c r="F459" s="93"/>
    </row>
    <row r="460">
      <c r="A460" s="71"/>
      <c r="B460" s="72"/>
      <c r="C460" s="92"/>
      <c r="D460" s="92"/>
      <c r="E460" s="92"/>
      <c r="F460" s="93"/>
    </row>
    <row r="461">
      <c r="A461" s="71"/>
      <c r="B461" s="72"/>
      <c r="C461" s="92"/>
      <c r="D461" s="92"/>
      <c r="E461" s="92"/>
      <c r="F461" s="93"/>
    </row>
    <row r="462">
      <c r="A462" s="71"/>
      <c r="B462" s="72"/>
      <c r="C462" s="92"/>
      <c r="D462" s="92"/>
      <c r="E462" s="92"/>
      <c r="F462" s="93"/>
    </row>
    <row r="463">
      <c r="A463" s="71"/>
      <c r="B463" s="72"/>
      <c r="C463" s="92"/>
      <c r="D463" s="92"/>
      <c r="E463" s="92"/>
      <c r="F463" s="93"/>
    </row>
    <row r="464">
      <c r="A464" s="71"/>
      <c r="B464" s="72"/>
      <c r="C464" s="92"/>
      <c r="D464" s="92"/>
      <c r="E464" s="92"/>
      <c r="F464" s="93"/>
    </row>
    <row r="465">
      <c r="A465" s="71"/>
      <c r="B465" s="72"/>
      <c r="C465" s="92"/>
      <c r="D465" s="92"/>
      <c r="E465" s="92"/>
      <c r="F465" s="93"/>
    </row>
    <row r="466">
      <c r="A466" s="71"/>
      <c r="B466" s="72"/>
      <c r="C466" s="92"/>
      <c r="D466" s="92"/>
      <c r="E466" s="92"/>
      <c r="F466" s="93"/>
    </row>
    <row r="467">
      <c r="A467" s="71"/>
      <c r="B467" s="72"/>
      <c r="C467" s="92"/>
      <c r="D467" s="92"/>
      <c r="E467" s="92"/>
      <c r="F467" s="93"/>
    </row>
    <row r="468">
      <c r="A468" s="71"/>
      <c r="B468" s="72"/>
      <c r="C468" s="92"/>
      <c r="D468" s="92"/>
      <c r="E468" s="92"/>
      <c r="F468" s="93"/>
    </row>
    <row r="469">
      <c r="A469" s="71"/>
      <c r="B469" s="72"/>
      <c r="C469" s="92"/>
      <c r="D469" s="92"/>
      <c r="E469" s="92"/>
      <c r="F469" s="93"/>
    </row>
    <row r="470">
      <c r="A470" s="71"/>
      <c r="B470" s="72"/>
      <c r="C470" s="92"/>
      <c r="D470" s="92"/>
      <c r="E470" s="92"/>
      <c r="F470" s="93"/>
    </row>
    <row r="471">
      <c r="A471" s="71"/>
      <c r="B471" s="72"/>
      <c r="C471" s="92"/>
      <c r="D471" s="92"/>
      <c r="E471" s="92"/>
      <c r="F471" s="93"/>
    </row>
    <row r="472">
      <c r="A472" s="71"/>
      <c r="B472" s="72"/>
      <c r="C472" s="92"/>
      <c r="D472" s="92"/>
      <c r="E472" s="92"/>
      <c r="F472" s="93"/>
    </row>
    <row r="473">
      <c r="A473" s="71"/>
      <c r="B473" s="72"/>
      <c r="C473" s="92"/>
      <c r="D473" s="92"/>
      <c r="E473" s="92"/>
      <c r="F473" s="93"/>
    </row>
    <row r="474">
      <c r="A474" s="71"/>
      <c r="B474" s="72"/>
      <c r="C474" s="92"/>
      <c r="D474" s="92"/>
      <c r="E474" s="92"/>
      <c r="F474" s="93"/>
    </row>
    <row r="475">
      <c r="A475" s="71"/>
      <c r="B475" s="72"/>
      <c r="C475" s="92"/>
      <c r="D475" s="92"/>
      <c r="E475" s="92"/>
      <c r="F475" s="93"/>
    </row>
    <row r="476">
      <c r="A476" s="71"/>
      <c r="B476" s="72"/>
      <c r="C476" s="92"/>
      <c r="D476" s="92"/>
      <c r="E476" s="92"/>
      <c r="F476" s="93"/>
    </row>
    <row r="477">
      <c r="A477" s="71"/>
      <c r="B477" s="72"/>
      <c r="C477" s="92"/>
      <c r="D477" s="92"/>
      <c r="E477" s="92"/>
      <c r="F477" s="93"/>
    </row>
    <row r="478">
      <c r="A478" s="71"/>
      <c r="B478" s="72"/>
      <c r="C478" s="92"/>
      <c r="D478" s="92"/>
      <c r="E478" s="92"/>
      <c r="F478" s="93"/>
    </row>
    <row r="479">
      <c r="A479" s="71"/>
      <c r="B479" s="72"/>
      <c r="C479" s="92"/>
      <c r="D479" s="92"/>
      <c r="E479" s="92"/>
      <c r="F479" s="93"/>
    </row>
    <row r="480">
      <c r="A480" s="71"/>
      <c r="B480" s="72"/>
      <c r="C480" s="92"/>
      <c r="D480" s="92"/>
      <c r="E480" s="92"/>
      <c r="F480" s="93"/>
    </row>
    <row r="481">
      <c r="A481" s="71"/>
      <c r="B481" s="72"/>
      <c r="C481" s="92"/>
      <c r="D481" s="92"/>
      <c r="E481" s="92"/>
      <c r="F481" s="93"/>
    </row>
    <row r="482">
      <c r="A482" s="71"/>
      <c r="B482" s="72"/>
      <c r="C482" s="92"/>
      <c r="D482" s="92"/>
      <c r="E482" s="92"/>
      <c r="F482" s="93"/>
    </row>
    <row r="483">
      <c r="A483" s="71"/>
      <c r="B483" s="72"/>
      <c r="C483" s="92"/>
      <c r="D483" s="92"/>
      <c r="E483" s="92"/>
      <c r="F483" s="93"/>
    </row>
    <row r="484">
      <c r="A484" s="71"/>
      <c r="B484" s="72"/>
      <c r="C484" s="92"/>
      <c r="D484" s="92"/>
      <c r="E484" s="92"/>
      <c r="F484" s="93"/>
    </row>
    <row r="485">
      <c r="A485" s="71"/>
      <c r="B485" s="72"/>
      <c r="C485" s="92"/>
      <c r="D485" s="92"/>
      <c r="E485" s="92"/>
      <c r="F485" s="93"/>
    </row>
    <row r="486">
      <c r="A486" s="71"/>
      <c r="B486" s="72"/>
      <c r="C486" s="92"/>
      <c r="D486" s="92"/>
      <c r="E486" s="92"/>
      <c r="F486" s="93"/>
    </row>
    <row r="487">
      <c r="A487" s="71"/>
      <c r="B487" s="72"/>
      <c r="C487" s="92"/>
      <c r="D487" s="92"/>
      <c r="E487" s="92"/>
      <c r="F487" s="93"/>
    </row>
    <row r="488">
      <c r="A488" s="71"/>
      <c r="B488" s="72"/>
      <c r="C488" s="92"/>
      <c r="D488" s="92"/>
      <c r="E488" s="92"/>
      <c r="F488" s="93"/>
    </row>
    <row r="489">
      <c r="A489" s="71"/>
      <c r="B489" s="72"/>
      <c r="C489" s="92"/>
      <c r="D489" s="92"/>
      <c r="E489" s="92"/>
      <c r="F489" s="93"/>
    </row>
    <row r="490">
      <c r="A490" s="71"/>
      <c r="B490" s="72"/>
      <c r="C490" s="92"/>
      <c r="D490" s="92"/>
      <c r="E490" s="92"/>
      <c r="F490" s="93"/>
    </row>
    <row r="491">
      <c r="A491" s="71"/>
      <c r="B491" s="72"/>
      <c r="C491" s="92"/>
      <c r="D491" s="92"/>
      <c r="E491" s="92"/>
      <c r="F491" s="93"/>
    </row>
    <row r="492">
      <c r="A492" s="71"/>
      <c r="B492" s="72"/>
      <c r="C492" s="92"/>
      <c r="D492" s="92"/>
      <c r="E492" s="92"/>
      <c r="F492" s="93"/>
    </row>
    <row r="493">
      <c r="A493" s="71"/>
      <c r="B493" s="72"/>
      <c r="C493" s="92"/>
      <c r="D493" s="92"/>
      <c r="E493" s="92"/>
      <c r="F493" s="93"/>
    </row>
    <row r="494">
      <c r="A494" s="71"/>
      <c r="B494" s="72"/>
      <c r="C494" s="92"/>
      <c r="D494" s="92"/>
      <c r="E494" s="92"/>
      <c r="F494" s="93"/>
    </row>
    <row r="495">
      <c r="A495" s="71"/>
      <c r="B495" s="72"/>
      <c r="C495" s="92"/>
      <c r="D495" s="92"/>
      <c r="E495" s="92"/>
      <c r="F495" s="93"/>
    </row>
    <row r="496">
      <c r="A496" s="71"/>
      <c r="B496" s="72"/>
      <c r="C496" s="92"/>
      <c r="D496" s="92"/>
      <c r="E496" s="92"/>
      <c r="F496" s="93"/>
    </row>
    <row r="497">
      <c r="A497" s="71"/>
      <c r="B497" s="72"/>
      <c r="C497" s="92"/>
      <c r="D497" s="92"/>
      <c r="E497" s="92"/>
      <c r="F497" s="93"/>
    </row>
    <row r="498">
      <c r="A498" s="71"/>
      <c r="B498" s="72"/>
      <c r="C498" s="92"/>
      <c r="D498" s="92"/>
      <c r="E498" s="92"/>
      <c r="F498" s="93"/>
    </row>
    <row r="499">
      <c r="A499" s="71"/>
      <c r="B499" s="72"/>
      <c r="C499" s="92"/>
      <c r="D499" s="92"/>
      <c r="E499" s="92"/>
      <c r="F499" s="93"/>
    </row>
    <row r="500">
      <c r="A500" s="71"/>
      <c r="B500" s="72"/>
      <c r="C500" s="92"/>
      <c r="D500" s="92"/>
      <c r="E500" s="92"/>
      <c r="F500" s="93"/>
    </row>
    <row r="501">
      <c r="A501" s="71"/>
      <c r="B501" s="72"/>
      <c r="C501" s="92"/>
      <c r="D501" s="92"/>
      <c r="E501" s="92"/>
      <c r="F501" s="93"/>
    </row>
    <row r="502">
      <c r="A502" s="71"/>
      <c r="B502" s="72"/>
      <c r="C502" s="92"/>
      <c r="D502" s="92"/>
      <c r="E502" s="92"/>
      <c r="F502" s="93"/>
    </row>
    <row r="503">
      <c r="A503" s="71"/>
      <c r="B503" s="72"/>
      <c r="C503" s="92"/>
      <c r="D503" s="92"/>
      <c r="E503" s="92"/>
      <c r="F503" s="93"/>
    </row>
    <row r="504">
      <c r="A504" s="71"/>
      <c r="B504" s="72"/>
      <c r="C504" s="92"/>
      <c r="D504" s="92"/>
      <c r="E504" s="92"/>
      <c r="F504" s="93"/>
    </row>
    <row r="505">
      <c r="A505" s="71"/>
      <c r="B505" s="72"/>
      <c r="C505" s="92"/>
      <c r="D505" s="92"/>
      <c r="E505" s="92"/>
      <c r="F505" s="93"/>
    </row>
    <row r="506">
      <c r="A506" s="71"/>
      <c r="B506" s="72"/>
      <c r="C506" s="92"/>
      <c r="D506" s="92"/>
      <c r="E506" s="92"/>
      <c r="F506" s="93"/>
    </row>
    <row r="507">
      <c r="A507" s="71"/>
      <c r="B507" s="72"/>
      <c r="C507" s="92"/>
      <c r="D507" s="92"/>
      <c r="E507" s="92"/>
      <c r="F507" s="93"/>
    </row>
    <row r="508">
      <c r="A508" s="71"/>
      <c r="B508" s="72"/>
      <c r="C508" s="92"/>
      <c r="D508" s="92"/>
      <c r="E508" s="92"/>
      <c r="F508" s="93"/>
    </row>
    <row r="509">
      <c r="A509" s="71"/>
      <c r="B509" s="72"/>
      <c r="C509" s="92"/>
      <c r="D509" s="92"/>
      <c r="E509" s="92"/>
      <c r="F509" s="93"/>
    </row>
    <row r="510">
      <c r="A510" s="71"/>
      <c r="B510" s="72"/>
      <c r="C510" s="92"/>
      <c r="D510" s="92"/>
      <c r="E510" s="92"/>
      <c r="F510" s="93"/>
    </row>
    <row r="511">
      <c r="A511" s="71"/>
      <c r="B511" s="72"/>
      <c r="C511" s="92"/>
      <c r="D511" s="92"/>
      <c r="E511" s="92"/>
      <c r="F511" s="93"/>
    </row>
    <row r="512">
      <c r="A512" s="71"/>
      <c r="B512" s="72"/>
      <c r="C512" s="92"/>
      <c r="D512" s="92"/>
      <c r="E512" s="92"/>
      <c r="F512" s="93"/>
    </row>
    <row r="513">
      <c r="A513" s="71"/>
      <c r="B513" s="72"/>
      <c r="C513" s="92"/>
      <c r="D513" s="92"/>
      <c r="E513" s="92"/>
      <c r="F513" s="93"/>
    </row>
    <row r="514">
      <c r="A514" s="71"/>
      <c r="B514" s="72"/>
      <c r="C514" s="92"/>
      <c r="D514" s="92"/>
      <c r="E514" s="92"/>
      <c r="F514" s="93"/>
    </row>
    <row r="515">
      <c r="A515" s="71"/>
      <c r="B515" s="72"/>
      <c r="C515" s="92"/>
      <c r="D515" s="92"/>
      <c r="E515" s="92"/>
      <c r="F515" s="93"/>
    </row>
    <row r="516">
      <c r="A516" s="71"/>
      <c r="B516" s="72"/>
      <c r="C516" s="92"/>
      <c r="D516" s="92"/>
      <c r="E516" s="92"/>
      <c r="F516" s="93"/>
    </row>
    <row r="517">
      <c r="A517" s="71"/>
      <c r="B517" s="72"/>
      <c r="C517" s="92"/>
      <c r="D517" s="92"/>
      <c r="E517" s="92"/>
      <c r="F517" s="93"/>
    </row>
    <row r="518">
      <c r="A518" s="71"/>
      <c r="B518" s="72"/>
      <c r="C518" s="92"/>
      <c r="D518" s="92"/>
      <c r="E518" s="92"/>
      <c r="F518" s="93"/>
    </row>
    <row r="519">
      <c r="A519" s="71"/>
      <c r="B519" s="72"/>
      <c r="C519" s="92"/>
      <c r="D519" s="92"/>
      <c r="E519" s="92"/>
      <c r="F519" s="93"/>
    </row>
    <row r="520">
      <c r="A520" s="71"/>
      <c r="B520" s="72"/>
      <c r="C520" s="92"/>
      <c r="D520" s="92"/>
      <c r="E520" s="92"/>
      <c r="F520" s="93"/>
    </row>
    <row r="521">
      <c r="A521" s="71"/>
      <c r="B521" s="72"/>
      <c r="C521" s="92"/>
      <c r="D521" s="92"/>
      <c r="E521" s="92"/>
      <c r="F521" s="93"/>
    </row>
    <row r="522">
      <c r="A522" s="71"/>
      <c r="B522" s="72"/>
      <c r="C522" s="92"/>
      <c r="D522" s="92"/>
      <c r="E522" s="92"/>
      <c r="F522" s="93"/>
    </row>
    <row r="523">
      <c r="A523" s="71"/>
      <c r="B523" s="72"/>
      <c r="C523" s="92"/>
      <c r="D523" s="92"/>
      <c r="E523" s="92"/>
      <c r="F523" s="93"/>
    </row>
    <row r="524">
      <c r="A524" s="71"/>
      <c r="B524" s="72"/>
      <c r="C524" s="92"/>
      <c r="D524" s="92"/>
      <c r="E524" s="92"/>
      <c r="F524" s="93"/>
    </row>
    <row r="525">
      <c r="A525" s="71"/>
      <c r="B525" s="72"/>
      <c r="C525" s="92"/>
      <c r="D525" s="92"/>
      <c r="E525" s="92"/>
      <c r="F525" s="93"/>
    </row>
    <row r="526">
      <c r="A526" s="71"/>
      <c r="B526" s="72"/>
      <c r="C526" s="92"/>
      <c r="D526" s="92"/>
      <c r="E526" s="92"/>
      <c r="F526" s="93"/>
    </row>
    <row r="527">
      <c r="A527" s="71"/>
      <c r="B527" s="72"/>
      <c r="C527" s="92"/>
      <c r="D527" s="92"/>
      <c r="E527" s="92"/>
      <c r="F527" s="93"/>
    </row>
    <row r="528">
      <c r="A528" s="71"/>
      <c r="B528" s="72"/>
      <c r="C528" s="92"/>
      <c r="D528" s="92"/>
      <c r="E528" s="92"/>
      <c r="F528" s="93"/>
    </row>
    <row r="529">
      <c r="A529" s="71"/>
      <c r="B529" s="72"/>
      <c r="C529" s="92"/>
      <c r="D529" s="92"/>
      <c r="E529" s="92"/>
      <c r="F529" s="93"/>
    </row>
    <row r="530">
      <c r="A530" s="71"/>
      <c r="B530" s="72"/>
      <c r="C530" s="92"/>
      <c r="D530" s="92"/>
      <c r="E530" s="92"/>
      <c r="F530" s="93"/>
    </row>
    <row r="531">
      <c r="A531" s="71"/>
      <c r="B531" s="72"/>
      <c r="C531" s="92"/>
      <c r="D531" s="92"/>
      <c r="E531" s="92"/>
      <c r="F531" s="93"/>
    </row>
    <row r="532">
      <c r="A532" s="71"/>
      <c r="B532" s="72"/>
      <c r="C532" s="92"/>
      <c r="D532" s="92"/>
      <c r="E532" s="92"/>
      <c r="F532" s="93"/>
    </row>
    <row r="533">
      <c r="A533" s="71"/>
      <c r="B533" s="72"/>
      <c r="C533" s="92"/>
      <c r="D533" s="92"/>
      <c r="E533" s="92"/>
      <c r="F533" s="93"/>
    </row>
    <row r="534">
      <c r="A534" s="71"/>
      <c r="B534" s="72"/>
      <c r="C534" s="92"/>
      <c r="D534" s="92"/>
      <c r="E534" s="92"/>
      <c r="F534" s="93"/>
    </row>
    <row r="535">
      <c r="A535" s="71"/>
      <c r="B535" s="72"/>
      <c r="C535" s="92"/>
      <c r="D535" s="92"/>
      <c r="E535" s="92"/>
      <c r="F535" s="93"/>
    </row>
    <row r="536">
      <c r="A536" s="71"/>
      <c r="B536" s="72"/>
      <c r="C536" s="92"/>
      <c r="D536" s="92"/>
      <c r="E536" s="92"/>
      <c r="F536" s="93"/>
    </row>
    <row r="537">
      <c r="A537" s="71"/>
      <c r="B537" s="72"/>
      <c r="C537" s="92"/>
      <c r="D537" s="92"/>
      <c r="E537" s="92"/>
      <c r="F537" s="93"/>
    </row>
    <row r="538">
      <c r="A538" s="71"/>
      <c r="B538" s="72"/>
      <c r="C538" s="92"/>
      <c r="D538" s="92"/>
      <c r="E538" s="92"/>
      <c r="F538" s="93"/>
    </row>
    <row r="539">
      <c r="A539" s="71"/>
      <c r="B539" s="72"/>
      <c r="C539" s="92"/>
      <c r="D539" s="92"/>
      <c r="E539" s="92"/>
      <c r="F539" s="93"/>
    </row>
    <row r="540">
      <c r="A540" s="71"/>
      <c r="B540" s="72"/>
      <c r="C540" s="92"/>
      <c r="D540" s="92"/>
      <c r="E540" s="92"/>
      <c r="F540" s="93"/>
    </row>
    <row r="541">
      <c r="A541" s="71"/>
      <c r="B541" s="72"/>
      <c r="C541" s="92"/>
      <c r="D541" s="92"/>
      <c r="E541" s="92"/>
      <c r="F541" s="93"/>
    </row>
    <row r="542">
      <c r="A542" s="71"/>
      <c r="B542" s="72"/>
      <c r="C542" s="92"/>
      <c r="D542" s="92"/>
      <c r="E542" s="92"/>
      <c r="F542" s="93"/>
    </row>
    <row r="543">
      <c r="A543" s="71"/>
      <c r="B543" s="72"/>
      <c r="C543" s="92"/>
      <c r="D543" s="92"/>
      <c r="E543" s="92"/>
      <c r="F543" s="93"/>
    </row>
    <row r="544">
      <c r="A544" s="71"/>
      <c r="B544" s="72"/>
      <c r="C544" s="92"/>
      <c r="D544" s="92"/>
      <c r="E544" s="92"/>
      <c r="F544" s="93"/>
    </row>
    <row r="545">
      <c r="A545" s="71"/>
      <c r="B545" s="72"/>
      <c r="C545" s="92"/>
      <c r="D545" s="92"/>
      <c r="E545" s="92"/>
      <c r="F545" s="93"/>
    </row>
    <row r="546">
      <c r="A546" s="71"/>
      <c r="B546" s="72"/>
      <c r="C546" s="92"/>
      <c r="D546" s="92"/>
      <c r="E546" s="92"/>
      <c r="F546" s="93"/>
    </row>
    <row r="547">
      <c r="A547" s="71"/>
      <c r="B547" s="72"/>
      <c r="C547" s="92"/>
      <c r="D547" s="92"/>
      <c r="E547" s="92"/>
      <c r="F547" s="93"/>
    </row>
    <row r="548">
      <c r="A548" s="71"/>
      <c r="B548" s="72"/>
      <c r="C548" s="92"/>
      <c r="D548" s="92"/>
      <c r="E548" s="92"/>
      <c r="F548" s="93"/>
    </row>
    <row r="549">
      <c r="A549" s="71"/>
      <c r="B549" s="72"/>
      <c r="C549" s="92"/>
      <c r="D549" s="92"/>
      <c r="E549" s="92"/>
      <c r="F549" s="93"/>
    </row>
    <row r="550">
      <c r="A550" s="71"/>
      <c r="B550" s="72"/>
      <c r="C550" s="92"/>
      <c r="D550" s="92"/>
      <c r="E550" s="92"/>
      <c r="F550" s="93"/>
    </row>
    <row r="551">
      <c r="A551" s="71"/>
      <c r="B551" s="72"/>
      <c r="C551" s="92"/>
      <c r="D551" s="92"/>
      <c r="E551" s="92"/>
      <c r="F551" s="93"/>
    </row>
    <row r="552">
      <c r="A552" s="71"/>
      <c r="B552" s="72"/>
      <c r="C552" s="92"/>
      <c r="D552" s="92"/>
      <c r="E552" s="92"/>
      <c r="F552" s="93"/>
    </row>
    <row r="553">
      <c r="A553" s="71"/>
      <c r="B553" s="72"/>
      <c r="C553" s="92"/>
      <c r="D553" s="92"/>
      <c r="E553" s="92"/>
      <c r="F553" s="93"/>
    </row>
    <row r="554">
      <c r="A554" s="71"/>
      <c r="B554" s="72"/>
      <c r="C554" s="92"/>
      <c r="D554" s="92"/>
      <c r="E554" s="92"/>
      <c r="F554" s="93"/>
    </row>
    <row r="555">
      <c r="A555" s="71"/>
      <c r="B555" s="72"/>
      <c r="C555" s="92"/>
      <c r="D555" s="92"/>
      <c r="E555" s="92"/>
      <c r="F555" s="93"/>
    </row>
    <row r="556">
      <c r="A556" s="71"/>
      <c r="B556" s="72"/>
      <c r="C556" s="92"/>
      <c r="D556" s="92"/>
      <c r="E556" s="92"/>
      <c r="F556" s="93"/>
    </row>
    <row r="557">
      <c r="A557" s="71"/>
      <c r="B557" s="72"/>
      <c r="C557" s="92"/>
      <c r="D557" s="92"/>
      <c r="E557" s="92"/>
      <c r="F557" s="93"/>
    </row>
    <row r="558">
      <c r="A558" s="71"/>
      <c r="B558" s="72"/>
      <c r="C558" s="92"/>
      <c r="D558" s="92"/>
      <c r="E558" s="92"/>
      <c r="F558" s="93"/>
    </row>
    <row r="559">
      <c r="A559" s="71"/>
      <c r="B559" s="72"/>
      <c r="C559" s="92"/>
      <c r="D559" s="92"/>
      <c r="E559" s="92"/>
      <c r="F559" s="93"/>
    </row>
    <row r="560">
      <c r="A560" s="71"/>
      <c r="B560" s="72"/>
      <c r="C560" s="92"/>
      <c r="D560" s="92"/>
      <c r="E560" s="92"/>
      <c r="F560" s="93"/>
    </row>
    <row r="561">
      <c r="A561" s="71"/>
      <c r="B561" s="72"/>
      <c r="C561" s="92"/>
      <c r="D561" s="92"/>
      <c r="E561" s="92"/>
      <c r="F561" s="93"/>
    </row>
    <row r="562">
      <c r="A562" s="71"/>
      <c r="B562" s="72"/>
      <c r="C562" s="92"/>
      <c r="D562" s="92"/>
      <c r="E562" s="92"/>
      <c r="F562" s="93"/>
    </row>
    <row r="563">
      <c r="A563" s="71"/>
      <c r="B563" s="72"/>
      <c r="C563" s="92"/>
      <c r="D563" s="92"/>
      <c r="E563" s="92"/>
      <c r="F563" s="93"/>
    </row>
    <row r="564">
      <c r="A564" s="71"/>
      <c r="B564" s="72"/>
      <c r="C564" s="92"/>
      <c r="D564" s="92"/>
      <c r="E564" s="92"/>
      <c r="F564" s="93"/>
    </row>
    <row r="565">
      <c r="A565" s="71"/>
      <c r="B565" s="72"/>
      <c r="C565" s="92"/>
      <c r="D565" s="92"/>
      <c r="E565" s="92"/>
      <c r="F565" s="93"/>
    </row>
    <row r="566">
      <c r="A566" s="71"/>
      <c r="B566" s="72"/>
      <c r="C566" s="92"/>
      <c r="D566" s="92"/>
      <c r="E566" s="92"/>
      <c r="F566" s="93"/>
    </row>
    <row r="567">
      <c r="A567" s="71"/>
      <c r="B567" s="72"/>
      <c r="C567" s="92"/>
      <c r="D567" s="92"/>
      <c r="E567" s="92"/>
      <c r="F567" s="93"/>
    </row>
    <row r="568">
      <c r="A568" s="71"/>
      <c r="B568" s="72"/>
      <c r="C568" s="92"/>
      <c r="D568" s="92"/>
      <c r="E568" s="92"/>
      <c r="F568" s="93"/>
    </row>
    <row r="569">
      <c r="A569" s="71"/>
      <c r="B569" s="72"/>
      <c r="C569" s="92"/>
      <c r="D569" s="92"/>
      <c r="E569" s="92"/>
      <c r="F569" s="93"/>
    </row>
    <row r="570">
      <c r="A570" s="71"/>
      <c r="B570" s="72"/>
      <c r="C570" s="92"/>
      <c r="D570" s="92"/>
      <c r="E570" s="92"/>
      <c r="F570" s="93"/>
    </row>
    <row r="571">
      <c r="A571" s="71"/>
      <c r="B571" s="72"/>
      <c r="C571" s="92"/>
      <c r="D571" s="92"/>
      <c r="E571" s="92"/>
      <c r="F571" s="93"/>
    </row>
    <row r="572">
      <c r="A572" s="71"/>
      <c r="B572" s="72"/>
      <c r="C572" s="92"/>
      <c r="D572" s="92"/>
      <c r="E572" s="92"/>
      <c r="F572" s="93"/>
    </row>
    <row r="573">
      <c r="A573" s="71"/>
      <c r="B573" s="72"/>
      <c r="C573" s="92"/>
      <c r="D573" s="92"/>
      <c r="E573" s="92"/>
      <c r="F573" s="93"/>
    </row>
    <row r="574">
      <c r="A574" s="71"/>
      <c r="B574" s="72"/>
      <c r="C574" s="92"/>
      <c r="D574" s="92"/>
      <c r="E574" s="92"/>
      <c r="F574" s="93"/>
    </row>
    <row r="575">
      <c r="A575" s="71"/>
      <c r="B575" s="72"/>
      <c r="C575" s="92"/>
      <c r="D575" s="92"/>
      <c r="E575" s="92"/>
      <c r="F575" s="93"/>
    </row>
    <row r="576">
      <c r="A576" s="71"/>
      <c r="B576" s="72"/>
      <c r="C576" s="92"/>
      <c r="D576" s="92"/>
      <c r="E576" s="92"/>
      <c r="F576" s="93"/>
    </row>
    <row r="577">
      <c r="A577" s="71"/>
      <c r="B577" s="72"/>
      <c r="C577" s="92"/>
      <c r="D577" s="92"/>
      <c r="E577" s="92"/>
      <c r="F577" s="93"/>
    </row>
    <row r="578">
      <c r="A578" s="71"/>
      <c r="B578" s="72"/>
      <c r="C578" s="92"/>
      <c r="D578" s="92"/>
      <c r="E578" s="92"/>
      <c r="F578" s="93"/>
    </row>
    <row r="579">
      <c r="A579" s="71"/>
      <c r="B579" s="72"/>
      <c r="C579" s="92"/>
      <c r="D579" s="92"/>
      <c r="E579" s="92"/>
      <c r="F579" s="93"/>
    </row>
    <row r="580">
      <c r="A580" s="71"/>
      <c r="B580" s="72"/>
      <c r="C580" s="92"/>
      <c r="D580" s="92"/>
      <c r="E580" s="92"/>
      <c r="F580" s="93"/>
    </row>
    <row r="581">
      <c r="A581" s="71"/>
      <c r="B581" s="72"/>
      <c r="C581" s="92"/>
      <c r="D581" s="92"/>
      <c r="E581" s="92"/>
      <c r="F581" s="93"/>
    </row>
    <row r="582">
      <c r="A582" s="71"/>
      <c r="B582" s="72"/>
      <c r="C582" s="92"/>
      <c r="D582" s="92"/>
      <c r="E582" s="92"/>
      <c r="F582" s="93"/>
    </row>
    <row r="583">
      <c r="A583" s="71"/>
      <c r="B583" s="72"/>
      <c r="C583" s="92"/>
      <c r="D583" s="92"/>
      <c r="E583" s="92"/>
      <c r="F583" s="93"/>
    </row>
    <row r="584">
      <c r="A584" s="71"/>
      <c r="B584" s="72"/>
      <c r="C584" s="92"/>
      <c r="D584" s="92"/>
      <c r="E584" s="92"/>
      <c r="F584" s="93"/>
    </row>
    <row r="585">
      <c r="A585" s="71"/>
      <c r="B585" s="72"/>
      <c r="C585" s="92"/>
      <c r="D585" s="92"/>
      <c r="E585" s="92"/>
      <c r="F585" s="93"/>
    </row>
    <row r="586">
      <c r="A586" s="71"/>
      <c r="B586" s="72"/>
      <c r="C586" s="92"/>
      <c r="D586" s="92"/>
      <c r="E586" s="92"/>
      <c r="F586" s="93"/>
    </row>
    <row r="587">
      <c r="A587" s="71"/>
      <c r="B587" s="72"/>
      <c r="C587" s="92"/>
      <c r="D587" s="92"/>
      <c r="E587" s="92"/>
      <c r="F587" s="93"/>
    </row>
    <row r="588">
      <c r="A588" s="71"/>
      <c r="B588" s="72"/>
      <c r="C588" s="92"/>
      <c r="D588" s="92"/>
      <c r="E588" s="92"/>
      <c r="F588" s="93"/>
    </row>
    <row r="589">
      <c r="A589" s="71"/>
      <c r="B589" s="72"/>
      <c r="C589" s="92"/>
      <c r="D589" s="92"/>
      <c r="E589" s="92"/>
      <c r="F589" s="93"/>
    </row>
    <row r="590">
      <c r="A590" s="71"/>
      <c r="B590" s="72"/>
      <c r="C590" s="92"/>
      <c r="D590" s="92"/>
      <c r="E590" s="92"/>
      <c r="F590" s="93"/>
    </row>
    <row r="591">
      <c r="A591" s="71"/>
      <c r="B591" s="72"/>
      <c r="C591" s="92"/>
      <c r="D591" s="92"/>
      <c r="E591" s="92"/>
      <c r="F591" s="93"/>
    </row>
    <row r="592">
      <c r="A592" s="71"/>
      <c r="B592" s="72"/>
      <c r="C592" s="92"/>
      <c r="D592" s="92"/>
      <c r="E592" s="92"/>
      <c r="F592" s="93"/>
    </row>
    <row r="593">
      <c r="A593" s="71"/>
      <c r="B593" s="72"/>
      <c r="C593" s="92"/>
      <c r="D593" s="92"/>
      <c r="E593" s="92"/>
      <c r="F593" s="93"/>
    </row>
    <row r="594">
      <c r="A594" s="71"/>
      <c r="B594" s="72"/>
      <c r="C594" s="92"/>
      <c r="D594" s="92"/>
      <c r="E594" s="92"/>
      <c r="F594" s="93"/>
    </row>
    <row r="595">
      <c r="A595" s="71"/>
      <c r="B595" s="72"/>
      <c r="C595" s="92"/>
      <c r="D595" s="92"/>
      <c r="E595" s="92"/>
      <c r="F595" s="93"/>
    </row>
    <row r="596">
      <c r="A596" s="71"/>
      <c r="B596" s="72"/>
      <c r="C596" s="92"/>
      <c r="D596" s="92"/>
      <c r="E596" s="92"/>
      <c r="F596" s="93"/>
    </row>
    <row r="597">
      <c r="A597" s="71"/>
      <c r="B597" s="72"/>
      <c r="C597" s="92"/>
      <c r="D597" s="92"/>
      <c r="E597" s="92"/>
      <c r="F597" s="93"/>
    </row>
    <row r="598">
      <c r="A598" s="71"/>
      <c r="B598" s="72"/>
      <c r="C598" s="92"/>
      <c r="D598" s="92"/>
      <c r="E598" s="92"/>
      <c r="F598" s="93"/>
    </row>
    <row r="599">
      <c r="A599" s="71"/>
      <c r="B599" s="72"/>
      <c r="C599" s="92"/>
      <c r="D599" s="92"/>
      <c r="E599" s="92"/>
      <c r="F599" s="93"/>
    </row>
    <row r="600">
      <c r="A600" s="71"/>
      <c r="B600" s="72"/>
      <c r="C600" s="92"/>
      <c r="D600" s="92"/>
      <c r="E600" s="92"/>
      <c r="F600" s="93"/>
    </row>
    <row r="601">
      <c r="A601" s="71"/>
      <c r="B601" s="72"/>
      <c r="C601" s="92"/>
      <c r="D601" s="92"/>
      <c r="E601" s="92"/>
      <c r="F601" s="93"/>
    </row>
    <row r="602">
      <c r="A602" s="71"/>
      <c r="B602" s="72"/>
      <c r="C602" s="92"/>
      <c r="D602" s="92"/>
      <c r="E602" s="92"/>
      <c r="F602" s="93"/>
    </row>
    <row r="603">
      <c r="A603" s="71"/>
      <c r="B603" s="72"/>
      <c r="C603" s="92"/>
      <c r="D603" s="92"/>
      <c r="E603" s="92"/>
      <c r="F603" s="93"/>
    </row>
    <row r="604">
      <c r="A604" s="71"/>
      <c r="B604" s="72"/>
      <c r="C604" s="92"/>
      <c r="D604" s="92"/>
      <c r="E604" s="92"/>
      <c r="F604" s="93"/>
    </row>
    <row r="605">
      <c r="A605" s="71"/>
      <c r="B605" s="72"/>
      <c r="C605" s="92"/>
      <c r="D605" s="92"/>
      <c r="E605" s="92"/>
      <c r="F605" s="93"/>
    </row>
    <row r="606">
      <c r="A606" s="71"/>
      <c r="B606" s="72"/>
      <c r="C606" s="92"/>
      <c r="D606" s="92"/>
      <c r="E606" s="92"/>
      <c r="F606" s="93"/>
    </row>
    <row r="607">
      <c r="A607" s="71"/>
      <c r="B607" s="72"/>
      <c r="C607" s="92"/>
      <c r="D607" s="92"/>
      <c r="E607" s="92"/>
      <c r="F607" s="93"/>
    </row>
    <row r="608">
      <c r="A608" s="71"/>
      <c r="B608" s="72"/>
      <c r="C608" s="92"/>
      <c r="D608" s="92"/>
      <c r="E608" s="92"/>
      <c r="F608" s="93"/>
    </row>
    <row r="609">
      <c r="A609" s="71"/>
      <c r="B609" s="72"/>
      <c r="C609" s="92"/>
      <c r="D609" s="92"/>
      <c r="E609" s="92"/>
      <c r="F609" s="93"/>
    </row>
    <row r="610">
      <c r="A610" s="71"/>
      <c r="B610" s="72"/>
      <c r="C610" s="92"/>
      <c r="D610" s="92"/>
      <c r="E610" s="92"/>
      <c r="F610" s="93"/>
    </row>
    <row r="611">
      <c r="A611" s="71"/>
      <c r="B611" s="72"/>
      <c r="C611" s="92"/>
      <c r="D611" s="92"/>
      <c r="E611" s="92"/>
      <c r="F611" s="93"/>
    </row>
    <row r="612">
      <c r="A612" s="71"/>
      <c r="B612" s="72"/>
      <c r="C612" s="92"/>
      <c r="D612" s="92"/>
      <c r="E612" s="92"/>
      <c r="F612" s="93"/>
    </row>
    <row r="613">
      <c r="A613" s="71"/>
      <c r="B613" s="72"/>
      <c r="C613" s="92"/>
      <c r="D613" s="92"/>
      <c r="E613" s="92"/>
      <c r="F613" s="93"/>
    </row>
    <row r="614">
      <c r="A614" s="71"/>
      <c r="B614" s="72"/>
      <c r="C614" s="92"/>
      <c r="D614" s="92"/>
      <c r="E614" s="92"/>
      <c r="F614" s="93"/>
    </row>
    <row r="615">
      <c r="A615" s="71"/>
      <c r="B615" s="72"/>
      <c r="C615" s="92"/>
      <c r="D615" s="92"/>
      <c r="E615" s="92"/>
      <c r="F615" s="93"/>
    </row>
    <row r="616">
      <c r="A616" s="71"/>
      <c r="B616" s="72"/>
      <c r="C616" s="92"/>
      <c r="D616" s="92"/>
      <c r="E616" s="92"/>
      <c r="F616" s="93"/>
    </row>
    <row r="617">
      <c r="A617" s="71"/>
      <c r="B617" s="72"/>
      <c r="C617" s="92"/>
      <c r="D617" s="92"/>
      <c r="E617" s="92"/>
      <c r="F617" s="93"/>
    </row>
    <row r="618">
      <c r="A618" s="71"/>
      <c r="B618" s="72"/>
      <c r="C618" s="92"/>
      <c r="D618" s="92"/>
      <c r="E618" s="92"/>
      <c r="F618" s="93"/>
    </row>
    <row r="619">
      <c r="A619" s="71"/>
      <c r="B619" s="72"/>
      <c r="C619" s="92"/>
      <c r="D619" s="92"/>
      <c r="E619" s="92"/>
      <c r="F619" s="93"/>
    </row>
    <row r="620">
      <c r="A620" s="71"/>
      <c r="B620" s="72"/>
      <c r="C620" s="92"/>
      <c r="D620" s="92"/>
      <c r="E620" s="92"/>
      <c r="F620" s="93"/>
    </row>
    <row r="621">
      <c r="A621" s="71"/>
      <c r="B621" s="72"/>
      <c r="C621" s="92"/>
      <c r="D621" s="92"/>
      <c r="E621" s="92"/>
      <c r="F621" s="93"/>
    </row>
    <row r="622">
      <c r="A622" s="71"/>
      <c r="B622" s="72"/>
      <c r="C622" s="92"/>
      <c r="D622" s="92"/>
      <c r="E622" s="92"/>
      <c r="F622" s="93"/>
    </row>
    <row r="623">
      <c r="A623" s="71"/>
      <c r="B623" s="72"/>
      <c r="C623" s="92"/>
      <c r="D623" s="92"/>
      <c r="E623" s="92"/>
      <c r="F623" s="93"/>
    </row>
    <row r="624">
      <c r="A624" s="71"/>
      <c r="B624" s="72"/>
      <c r="C624" s="92"/>
      <c r="D624" s="92"/>
      <c r="E624" s="92"/>
      <c r="F624" s="93"/>
    </row>
    <row r="625">
      <c r="A625" s="71"/>
      <c r="B625" s="72"/>
      <c r="C625" s="92"/>
      <c r="D625" s="92"/>
      <c r="E625" s="92"/>
      <c r="F625" s="93"/>
    </row>
    <row r="626">
      <c r="A626" s="71"/>
      <c r="B626" s="72"/>
      <c r="C626" s="92"/>
      <c r="D626" s="92"/>
      <c r="E626" s="92"/>
      <c r="F626" s="93"/>
    </row>
    <row r="627">
      <c r="A627" s="71"/>
      <c r="B627" s="72"/>
      <c r="C627" s="92"/>
      <c r="D627" s="92"/>
      <c r="E627" s="92"/>
      <c r="F627" s="93"/>
    </row>
    <row r="628">
      <c r="A628" s="71"/>
      <c r="B628" s="72"/>
      <c r="C628" s="92"/>
      <c r="D628" s="92"/>
      <c r="E628" s="92"/>
      <c r="F628" s="93"/>
    </row>
    <row r="629">
      <c r="A629" s="71"/>
      <c r="B629" s="72"/>
      <c r="C629" s="92"/>
      <c r="D629" s="92"/>
      <c r="E629" s="92"/>
      <c r="F629" s="93"/>
    </row>
    <row r="630">
      <c r="A630" s="71"/>
      <c r="B630" s="72"/>
      <c r="C630" s="92"/>
      <c r="D630" s="92"/>
      <c r="E630" s="92"/>
      <c r="F630" s="93"/>
    </row>
    <row r="631">
      <c r="A631" s="71"/>
      <c r="B631" s="72"/>
      <c r="C631" s="92"/>
      <c r="D631" s="92"/>
      <c r="E631" s="92"/>
      <c r="F631" s="93"/>
    </row>
    <row r="632">
      <c r="A632" s="71"/>
      <c r="B632" s="72"/>
      <c r="C632" s="92"/>
      <c r="D632" s="92"/>
      <c r="E632" s="92"/>
      <c r="F632" s="93"/>
    </row>
    <row r="633">
      <c r="A633" s="71"/>
      <c r="B633" s="72"/>
      <c r="C633" s="92"/>
      <c r="D633" s="92"/>
      <c r="E633" s="92"/>
      <c r="F633" s="93"/>
    </row>
    <row r="634">
      <c r="A634" s="71"/>
      <c r="B634" s="72"/>
      <c r="C634" s="92"/>
      <c r="D634" s="92"/>
      <c r="E634" s="92"/>
      <c r="F634" s="93"/>
    </row>
    <row r="635">
      <c r="A635" s="71"/>
      <c r="B635" s="72"/>
      <c r="C635" s="92"/>
      <c r="D635" s="92"/>
      <c r="E635" s="92"/>
      <c r="F635" s="93"/>
    </row>
    <row r="636">
      <c r="A636" s="71"/>
      <c r="B636" s="72"/>
      <c r="C636" s="92"/>
      <c r="D636" s="92"/>
      <c r="E636" s="92"/>
      <c r="F636" s="93"/>
    </row>
    <row r="637">
      <c r="A637" s="71"/>
      <c r="B637" s="72"/>
      <c r="C637" s="92"/>
      <c r="D637" s="92"/>
      <c r="E637" s="92"/>
      <c r="F637" s="93"/>
    </row>
    <row r="638">
      <c r="A638" s="71"/>
      <c r="B638" s="72"/>
      <c r="C638" s="92"/>
      <c r="D638" s="92"/>
      <c r="E638" s="92"/>
      <c r="F638" s="93"/>
    </row>
    <row r="639">
      <c r="A639" s="71"/>
      <c r="B639" s="72"/>
      <c r="C639" s="92"/>
      <c r="D639" s="92"/>
      <c r="E639" s="92"/>
      <c r="F639" s="93"/>
    </row>
    <row r="640">
      <c r="A640" s="71"/>
      <c r="B640" s="72"/>
      <c r="C640" s="92"/>
      <c r="D640" s="92"/>
      <c r="E640" s="92"/>
      <c r="F640" s="93"/>
    </row>
    <row r="641">
      <c r="A641" s="71"/>
      <c r="B641" s="72"/>
      <c r="C641" s="92"/>
      <c r="D641" s="92"/>
      <c r="E641" s="92"/>
      <c r="F641" s="93"/>
    </row>
    <row r="642">
      <c r="A642" s="71"/>
      <c r="B642" s="72"/>
      <c r="C642" s="92"/>
      <c r="D642" s="92"/>
      <c r="E642" s="92"/>
      <c r="F642" s="93"/>
    </row>
    <row r="643">
      <c r="A643" s="71"/>
      <c r="B643" s="72"/>
      <c r="C643" s="92"/>
      <c r="D643" s="92"/>
      <c r="E643" s="92"/>
      <c r="F643" s="93"/>
    </row>
    <row r="644">
      <c r="A644" s="71"/>
      <c r="B644" s="72"/>
      <c r="C644" s="92"/>
      <c r="D644" s="92"/>
      <c r="E644" s="92"/>
      <c r="F644" s="93"/>
    </row>
    <row r="645">
      <c r="A645" s="71"/>
      <c r="B645" s="72"/>
      <c r="C645" s="92"/>
      <c r="D645" s="92"/>
      <c r="E645" s="92"/>
      <c r="F645" s="93"/>
    </row>
    <row r="646">
      <c r="A646" s="71"/>
      <c r="B646" s="72"/>
      <c r="C646" s="92"/>
      <c r="D646" s="92"/>
      <c r="E646" s="92"/>
      <c r="F646" s="93"/>
    </row>
    <row r="647">
      <c r="A647" s="71"/>
      <c r="B647" s="72"/>
      <c r="C647" s="92"/>
      <c r="D647" s="92"/>
      <c r="E647" s="92"/>
      <c r="F647" s="93"/>
    </row>
    <row r="648">
      <c r="A648" s="71"/>
      <c r="B648" s="72"/>
      <c r="C648" s="92"/>
      <c r="D648" s="92"/>
      <c r="E648" s="92"/>
      <c r="F648" s="93"/>
    </row>
    <row r="649">
      <c r="A649" s="71"/>
      <c r="B649" s="72"/>
      <c r="C649" s="92"/>
      <c r="D649" s="92"/>
      <c r="E649" s="92"/>
      <c r="F649" s="93"/>
    </row>
    <row r="650">
      <c r="A650" s="71"/>
      <c r="B650" s="72"/>
      <c r="C650" s="92"/>
      <c r="D650" s="92"/>
      <c r="E650" s="92"/>
      <c r="F650" s="93"/>
    </row>
    <row r="651">
      <c r="A651" s="71"/>
      <c r="B651" s="72"/>
      <c r="C651" s="92"/>
      <c r="D651" s="92"/>
      <c r="E651" s="92"/>
      <c r="F651" s="93"/>
    </row>
    <row r="652">
      <c r="A652" s="71"/>
      <c r="B652" s="72"/>
      <c r="C652" s="92"/>
      <c r="D652" s="92"/>
      <c r="E652" s="92"/>
      <c r="F652" s="93"/>
    </row>
    <row r="653">
      <c r="A653" s="71"/>
      <c r="B653" s="72"/>
      <c r="C653" s="92"/>
      <c r="D653" s="92"/>
      <c r="E653" s="92"/>
      <c r="F653" s="93"/>
    </row>
    <row r="654">
      <c r="A654" s="71"/>
      <c r="B654" s="72"/>
      <c r="C654" s="92"/>
      <c r="D654" s="92"/>
      <c r="E654" s="92"/>
      <c r="F654" s="93"/>
    </row>
    <row r="655">
      <c r="A655" s="71"/>
      <c r="B655" s="72"/>
      <c r="C655" s="92"/>
      <c r="D655" s="92"/>
      <c r="E655" s="92"/>
      <c r="F655" s="93"/>
    </row>
    <row r="656">
      <c r="A656" s="71"/>
      <c r="B656" s="72"/>
      <c r="C656" s="92"/>
      <c r="D656" s="92"/>
      <c r="E656" s="92"/>
      <c r="F656" s="93"/>
    </row>
    <row r="657">
      <c r="A657" s="71"/>
      <c r="B657" s="72"/>
      <c r="C657" s="92"/>
      <c r="D657" s="92"/>
      <c r="E657" s="92"/>
      <c r="F657" s="93"/>
    </row>
    <row r="658">
      <c r="A658" s="71"/>
      <c r="B658" s="72"/>
      <c r="C658" s="92"/>
      <c r="D658" s="92"/>
      <c r="E658" s="92"/>
      <c r="F658" s="93"/>
    </row>
    <row r="659">
      <c r="A659" s="71"/>
      <c r="B659" s="72"/>
      <c r="C659" s="92"/>
      <c r="D659" s="92"/>
      <c r="E659" s="92"/>
      <c r="F659" s="93"/>
    </row>
    <row r="660">
      <c r="A660" s="71"/>
      <c r="B660" s="72"/>
      <c r="C660" s="92"/>
      <c r="D660" s="92"/>
      <c r="E660" s="92"/>
      <c r="F660" s="93"/>
    </row>
    <row r="661">
      <c r="A661" s="71"/>
      <c r="B661" s="72"/>
      <c r="C661" s="92"/>
      <c r="D661" s="92"/>
      <c r="E661" s="92"/>
      <c r="F661" s="93"/>
    </row>
    <row r="662">
      <c r="A662" s="71"/>
      <c r="B662" s="72"/>
      <c r="C662" s="92"/>
      <c r="D662" s="92"/>
      <c r="E662" s="92"/>
      <c r="F662" s="93"/>
    </row>
    <row r="663">
      <c r="A663" s="71"/>
      <c r="B663" s="72"/>
      <c r="C663" s="92"/>
      <c r="D663" s="92"/>
      <c r="E663" s="92"/>
      <c r="F663" s="93"/>
    </row>
    <row r="664">
      <c r="A664" s="71"/>
      <c r="B664" s="72"/>
      <c r="C664" s="92"/>
      <c r="D664" s="92"/>
      <c r="E664" s="92"/>
      <c r="F664" s="93"/>
    </row>
    <row r="665">
      <c r="A665" s="71"/>
      <c r="B665" s="72"/>
      <c r="C665" s="92"/>
      <c r="D665" s="92"/>
      <c r="E665" s="92"/>
      <c r="F665" s="93"/>
    </row>
    <row r="666">
      <c r="A666" s="71"/>
      <c r="B666" s="72"/>
      <c r="C666" s="92"/>
      <c r="D666" s="92"/>
      <c r="E666" s="92"/>
      <c r="F666" s="93"/>
    </row>
    <row r="667">
      <c r="A667" s="71"/>
      <c r="B667" s="72"/>
      <c r="C667" s="92"/>
      <c r="D667" s="92"/>
      <c r="E667" s="92"/>
      <c r="F667" s="93"/>
    </row>
    <row r="668">
      <c r="A668" s="71"/>
      <c r="B668" s="72"/>
      <c r="C668" s="92"/>
      <c r="D668" s="92"/>
      <c r="E668" s="92"/>
      <c r="F668" s="93"/>
    </row>
    <row r="669">
      <c r="A669" s="71"/>
      <c r="B669" s="72"/>
      <c r="C669" s="92"/>
      <c r="D669" s="92"/>
      <c r="E669" s="92"/>
      <c r="F669" s="93"/>
    </row>
    <row r="670">
      <c r="A670" s="71"/>
      <c r="B670" s="72"/>
      <c r="C670" s="92"/>
      <c r="D670" s="92"/>
      <c r="E670" s="92"/>
      <c r="F670" s="93"/>
    </row>
    <row r="671">
      <c r="A671" s="71"/>
      <c r="B671" s="72"/>
      <c r="C671" s="92"/>
      <c r="D671" s="92"/>
      <c r="E671" s="92"/>
      <c r="F671" s="93"/>
    </row>
    <row r="672">
      <c r="A672" s="71"/>
      <c r="B672" s="72"/>
      <c r="C672" s="92"/>
      <c r="D672" s="92"/>
      <c r="E672" s="92"/>
      <c r="F672" s="93"/>
    </row>
    <row r="673">
      <c r="A673" s="71"/>
      <c r="B673" s="72"/>
      <c r="C673" s="92"/>
      <c r="D673" s="92"/>
      <c r="E673" s="92"/>
      <c r="F673" s="93"/>
    </row>
    <row r="674">
      <c r="A674" s="71"/>
      <c r="B674" s="72"/>
      <c r="C674" s="92"/>
      <c r="D674" s="92"/>
      <c r="E674" s="92"/>
      <c r="F674" s="93"/>
    </row>
    <row r="675">
      <c r="A675" s="71"/>
      <c r="B675" s="72"/>
      <c r="C675" s="92"/>
      <c r="D675" s="92"/>
      <c r="E675" s="92"/>
      <c r="F675" s="93"/>
    </row>
    <row r="676">
      <c r="A676" s="71"/>
      <c r="B676" s="72"/>
      <c r="C676" s="92"/>
      <c r="D676" s="92"/>
      <c r="E676" s="92"/>
      <c r="F676" s="93"/>
    </row>
    <row r="677">
      <c r="A677" s="71"/>
      <c r="B677" s="72"/>
      <c r="C677" s="92"/>
      <c r="D677" s="92"/>
      <c r="E677" s="92"/>
      <c r="F677" s="93"/>
    </row>
    <row r="678">
      <c r="A678" s="71"/>
      <c r="B678" s="72"/>
      <c r="C678" s="92"/>
      <c r="D678" s="92"/>
      <c r="E678" s="92"/>
      <c r="F678" s="93"/>
    </row>
    <row r="679">
      <c r="A679" s="71"/>
      <c r="B679" s="72"/>
      <c r="C679" s="92"/>
      <c r="D679" s="92"/>
      <c r="E679" s="92"/>
      <c r="F679" s="93"/>
    </row>
    <row r="680">
      <c r="A680" s="71"/>
      <c r="B680" s="72"/>
      <c r="C680" s="92"/>
      <c r="D680" s="92"/>
      <c r="E680" s="92"/>
      <c r="F680" s="93"/>
    </row>
    <row r="681">
      <c r="A681" s="71"/>
      <c r="B681" s="72"/>
      <c r="C681" s="92"/>
      <c r="D681" s="92"/>
      <c r="E681" s="92"/>
      <c r="F681" s="93"/>
    </row>
    <row r="682">
      <c r="A682" s="71"/>
      <c r="B682" s="72"/>
      <c r="C682" s="92"/>
      <c r="D682" s="92"/>
      <c r="E682" s="92"/>
      <c r="F682" s="93"/>
    </row>
    <row r="683">
      <c r="A683" s="71"/>
      <c r="B683" s="72"/>
      <c r="C683" s="92"/>
      <c r="D683" s="92"/>
      <c r="E683" s="92"/>
      <c r="F683" s="93"/>
    </row>
    <row r="684">
      <c r="A684" s="71"/>
      <c r="B684" s="72"/>
      <c r="C684" s="92"/>
      <c r="D684" s="92"/>
      <c r="E684" s="92"/>
      <c r="F684" s="93"/>
    </row>
    <row r="685">
      <c r="A685" s="71"/>
      <c r="B685" s="72"/>
      <c r="C685" s="92"/>
      <c r="D685" s="92"/>
      <c r="E685" s="92"/>
      <c r="F685" s="93"/>
    </row>
    <row r="686">
      <c r="A686" s="71"/>
      <c r="B686" s="72"/>
      <c r="C686" s="92"/>
      <c r="D686" s="92"/>
      <c r="E686" s="92"/>
      <c r="F686" s="93"/>
    </row>
    <row r="687">
      <c r="A687" s="71"/>
      <c r="B687" s="72"/>
      <c r="C687" s="92"/>
      <c r="D687" s="92"/>
      <c r="E687" s="92"/>
      <c r="F687" s="93"/>
    </row>
    <row r="688">
      <c r="A688" s="71"/>
      <c r="B688" s="72"/>
      <c r="C688" s="92"/>
      <c r="D688" s="92"/>
      <c r="E688" s="92"/>
      <c r="F688" s="93"/>
    </row>
    <row r="689">
      <c r="A689" s="71"/>
      <c r="B689" s="72"/>
      <c r="C689" s="92"/>
      <c r="D689" s="92"/>
      <c r="E689" s="92"/>
      <c r="F689" s="93"/>
    </row>
    <row r="690">
      <c r="A690" s="71"/>
      <c r="B690" s="72"/>
      <c r="C690" s="92"/>
      <c r="D690" s="92"/>
      <c r="E690" s="92"/>
      <c r="F690" s="93"/>
    </row>
    <row r="691">
      <c r="A691" s="71"/>
      <c r="B691" s="72"/>
      <c r="C691" s="92"/>
      <c r="D691" s="92"/>
      <c r="E691" s="92"/>
      <c r="F691" s="93"/>
    </row>
    <row r="692">
      <c r="A692" s="71"/>
      <c r="B692" s="72"/>
      <c r="C692" s="92"/>
      <c r="D692" s="92"/>
      <c r="E692" s="92"/>
      <c r="F692" s="93"/>
    </row>
    <row r="693">
      <c r="A693" s="71"/>
      <c r="B693" s="72"/>
      <c r="C693" s="92"/>
      <c r="D693" s="92"/>
      <c r="E693" s="92"/>
      <c r="F693" s="93"/>
    </row>
    <row r="694">
      <c r="A694" s="71"/>
      <c r="B694" s="72"/>
      <c r="C694" s="92"/>
      <c r="D694" s="92"/>
      <c r="E694" s="92"/>
      <c r="F694" s="93"/>
    </row>
    <row r="695">
      <c r="A695" s="71"/>
      <c r="B695" s="72"/>
      <c r="C695" s="92"/>
      <c r="D695" s="92"/>
      <c r="E695" s="92"/>
      <c r="F695" s="93"/>
    </row>
    <row r="696">
      <c r="A696" s="71"/>
      <c r="B696" s="72"/>
      <c r="C696" s="92"/>
      <c r="D696" s="92"/>
      <c r="E696" s="92"/>
      <c r="F696" s="93"/>
    </row>
    <row r="697">
      <c r="A697" s="71"/>
      <c r="B697" s="72"/>
      <c r="C697" s="92"/>
      <c r="D697" s="92"/>
      <c r="E697" s="92"/>
      <c r="F697" s="93"/>
    </row>
    <row r="698">
      <c r="A698" s="71"/>
      <c r="B698" s="72"/>
      <c r="C698" s="92"/>
      <c r="D698" s="92"/>
      <c r="E698" s="92"/>
      <c r="F698" s="93"/>
    </row>
    <row r="699">
      <c r="A699" s="71"/>
      <c r="B699" s="72"/>
      <c r="C699" s="92"/>
      <c r="D699" s="92"/>
      <c r="E699" s="92"/>
      <c r="F699" s="93"/>
    </row>
    <row r="700">
      <c r="A700" s="71"/>
      <c r="B700" s="72"/>
      <c r="C700" s="92"/>
      <c r="D700" s="92"/>
      <c r="E700" s="92"/>
      <c r="F700" s="93"/>
    </row>
    <row r="701">
      <c r="A701" s="71"/>
      <c r="B701" s="72"/>
      <c r="C701" s="92"/>
      <c r="D701" s="92"/>
      <c r="E701" s="92"/>
      <c r="F701" s="93"/>
    </row>
    <row r="702">
      <c r="A702" s="71"/>
      <c r="B702" s="72"/>
      <c r="C702" s="92"/>
      <c r="D702" s="92"/>
      <c r="E702" s="92"/>
      <c r="F702" s="93"/>
    </row>
    <row r="703">
      <c r="A703" s="71"/>
      <c r="B703" s="72"/>
      <c r="C703" s="92"/>
      <c r="D703" s="92"/>
      <c r="E703" s="92"/>
      <c r="F703" s="93"/>
    </row>
    <row r="704">
      <c r="A704" s="71"/>
      <c r="B704" s="72"/>
      <c r="C704" s="92"/>
      <c r="D704" s="92"/>
      <c r="E704" s="92"/>
      <c r="F704" s="93"/>
    </row>
    <row r="705">
      <c r="A705" s="71"/>
      <c r="B705" s="72"/>
      <c r="C705" s="92"/>
      <c r="D705" s="92"/>
      <c r="E705" s="92"/>
      <c r="F705" s="93"/>
    </row>
    <row r="706">
      <c r="A706" s="71"/>
      <c r="B706" s="72"/>
      <c r="C706" s="92"/>
      <c r="D706" s="92"/>
      <c r="E706" s="92"/>
      <c r="F706" s="93"/>
    </row>
    <row r="707">
      <c r="A707" s="71"/>
      <c r="B707" s="72"/>
      <c r="C707" s="92"/>
      <c r="D707" s="92"/>
      <c r="E707" s="92"/>
      <c r="F707" s="93"/>
    </row>
    <row r="708">
      <c r="A708" s="71"/>
      <c r="B708" s="72"/>
      <c r="C708" s="92"/>
      <c r="D708" s="92"/>
      <c r="E708" s="92"/>
      <c r="F708" s="93"/>
    </row>
    <row r="709">
      <c r="A709" s="71"/>
      <c r="B709" s="72"/>
      <c r="C709" s="92"/>
      <c r="D709" s="92"/>
      <c r="E709" s="92"/>
      <c r="F709" s="93"/>
    </row>
    <row r="710">
      <c r="A710" s="71"/>
      <c r="B710" s="72"/>
      <c r="C710" s="92"/>
      <c r="D710" s="92"/>
      <c r="E710" s="92"/>
      <c r="F710" s="93"/>
    </row>
    <row r="711">
      <c r="A711" s="71"/>
      <c r="B711" s="72"/>
      <c r="C711" s="92"/>
      <c r="D711" s="92"/>
      <c r="E711" s="92"/>
      <c r="F711" s="93"/>
    </row>
    <row r="712">
      <c r="A712" s="71"/>
      <c r="B712" s="72"/>
      <c r="C712" s="92"/>
      <c r="D712" s="92"/>
      <c r="E712" s="92"/>
      <c r="F712" s="93"/>
    </row>
    <row r="713">
      <c r="A713" s="71"/>
      <c r="B713" s="72"/>
      <c r="C713" s="92"/>
      <c r="D713" s="92"/>
      <c r="E713" s="92"/>
      <c r="F713" s="93"/>
    </row>
    <row r="714">
      <c r="A714" s="71"/>
      <c r="B714" s="72"/>
      <c r="C714" s="92"/>
      <c r="D714" s="92"/>
      <c r="E714" s="92"/>
      <c r="F714" s="93"/>
    </row>
    <row r="715">
      <c r="A715" s="71"/>
      <c r="B715" s="72"/>
      <c r="C715" s="92"/>
      <c r="D715" s="92"/>
      <c r="E715" s="92"/>
      <c r="F715" s="93"/>
    </row>
    <row r="716">
      <c r="A716" s="71"/>
      <c r="B716" s="72"/>
      <c r="C716" s="92"/>
      <c r="D716" s="92"/>
      <c r="E716" s="92"/>
      <c r="F716" s="93"/>
    </row>
    <row r="717">
      <c r="A717" s="71"/>
      <c r="B717" s="72"/>
      <c r="C717" s="92"/>
      <c r="D717" s="92"/>
      <c r="E717" s="92"/>
      <c r="F717" s="93"/>
    </row>
    <row r="718">
      <c r="A718" s="71"/>
      <c r="B718" s="72"/>
      <c r="C718" s="92"/>
      <c r="D718" s="92"/>
      <c r="E718" s="92"/>
      <c r="F718" s="93"/>
    </row>
    <row r="719">
      <c r="A719" s="71"/>
      <c r="B719" s="72"/>
      <c r="C719" s="92"/>
      <c r="D719" s="92"/>
      <c r="E719" s="92"/>
      <c r="F719" s="93"/>
    </row>
    <row r="720">
      <c r="A720" s="71"/>
      <c r="B720" s="72"/>
      <c r="C720" s="92"/>
      <c r="D720" s="92"/>
      <c r="E720" s="92"/>
      <c r="F720" s="93"/>
    </row>
    <row r="721">
      <c r="A721" s="71"/>
      <c r="B721" s="72"/>
      <c r="C721" s="92"/>
      <c r="D721" s="92"/>
      <c r="E721" s="92"/>
      <c r="F721" s="93"/>
    </row>
    <row r="722">
      <c r="A722" s="71"/>
      <c r="B722" s="72"/>
      <c r="C722" s="92"/>
      <c r="D722" s="92"/>
      <c r="E722" s="92"/>
      <c r="F722" s="93"/>
    </row>
    <row r="723">
      <c r="A723" s="71"/>
      <c r="B723" s="72"/>
      <c r="C723" s="92"/>
      <c r="D723" s="92"/>
      <c r="E723" s="92"/>
      <c r="F723" s="93"/>
    </row>
    <row r="724">
      <c r="A724" s="71"/>
      <c r="B724" s="72"/>
      <c r="C724" s="92"/>
      <c r="D724" s="92"/>
      <c r="E724" s="92"/>
      <c r="F724" s="93"/>
    </row>
    <row r="725">
      <c r="A725" s="71"/>
      <c r="B725" s="72"/>
      <c r="C725" s="92"/>
      <c r="D725" s="92"/>
      <c r="E725" s="92"/>
      <c r="F725" s="93"/>
    </row>
    <row r="726">
      <c r="A726" s="71"/>
      <c r="B726" s="72"/>
      <c r="C726" s="92"/>
      <c r="D726" s="92"/>
      <c r="E726" s="92"/>
      <c r="F726" s="93"/>
    </row>
    <row r="727">
      <c r="A727" s="71"/>
      <c r="B727" s="72"/>
      <c r="C727" s="92"/>
      <c r="D727" s="92"/>
      <c r="E727" s="92"/>
      <c r="F727" s="93"/>
    </row>
    <row r="728">
      <c r="A728" s="71"/>
      <c r="B728" s="72"/>
      <c r="C728" s="92"/>
      <c r="D728" s="92"/>
      <c r="E728" s="92"/>
      <c r="F728" s="93"/>
    </row>
    <row r="729">
      <c r="A729" s="71"/>
      <c r="B729" s="72"/>
      <c r="C729" s="92"/>
      <c r="D729" s="92"/>
      <c r="E729" s="92"/>
      <c r="F729" s="93"/>
    </row>
    <row r="730">
      <c r="A730" s="71"/>
      <c r="B730" s="72"/>
      <c r="C730" s="92"/>
      <c r="D730" s="92"/>
      <c r="E730" s="92"/>
      <c r="F730" s="93"/>
    </row>
    <row r="731">
      <c r="A731" s="71"/>
      <c r="B731" s="72"/>
      <c r="C731" s="92"/>
      <c r="D731" s="92"/>
      <c r="E731" s="92"/>
      <c r="F731" s="93"/>
    </row>
    <row r="732">
      <c r="A732" s="71"/>
      <c r="B732" s="72"/>
      <c r="C732" s="92"/>
      <c r="D732" s="92"/>
      <c r="E732" s="92"/>
      <c r="F732" s="93"/>
    </row>
    <row r="733">
      <c r="A733" s="71"/>
      <c r="B733" s="72"/>
      <c r="C733" s="92"/>
      <c r="D733" s="92"/>
      <c r="E733" s="92"/>
      <c r="F733" s="93"/>
    </row>
    <row r="734">
      <c r="A734" s="71"/>
      <c r="B734" s="72"/>
      <c r="C734" s="92"/>
      <c r="D734" s="92"/>
      <c r="E734" s="92"/>
      <c r="F734" s="93"/>
    </row>
    <row r="735">
      <c r="A735" s="71"/>
      <c r="B735" s="72"/>
      <c r="C735" s="92"/>
      <c r="D735" s="92"/>
      <c r="E735" s="92"/>
      <c r="F735" s="93"/>
    </row>
    <row r="736">
      <c r="A736" s="71"/>
      <c r="B736" s="72"/>
      <c r="C736" s="92"/>
      <c r="D736" s="92"/>
      <c r="E736" s="92"/>
      <c r="F736" s="93"/>
    </row>
    <row r="737">
      <c r="A737" s="71"/>
      <c r="B737" s="72"/>
      <c r="C737" s="92"/>
      <c r="D737" s="92"/>
      <c r="E737" s="92"/>
      <c r="F737" s="93"/>
    </row>
    <row r="738">
      <c r="A738" s="71"/>
      <c r="B738" s="72"/>
      <c r="C738" s="92"/>
      <c r="D738" s="92"/>
      <c r="E738" s="92"/>
      <c r="F738" s="93"/>
    </row>
    <row r="739">
      <c r="A739" s="71"/>
      <c r="B739" s="72"/>
      <c r="C739" s="92"/>
      <c r="D739" s="92"/>
      <c r="E739" s="92"/>
      <c r="F739" s="93"/>
    </row>
    <row r="740">
      <c r="A740" s="71"/>
      <c r="B740" s="72"/>
      <c r="C740" s="92"/>
      <c r="D740" s="92"/>
      <c r="E740" s="92"/>
      <c r="F740" s="93"/>
    </row>
    <row r="741">
      <c r="A741" s="71"/>
      <c r="B741" s="72"/>
      <c r="C741" s="92"/>
      <c r="D741" s="92"/>
      <c r="E741" s="92"/>
      <c r="F741" s="93"/>
    </row>
    <row r="742">
      <c r="A742" s="71"/>
      <c r="B742" s="72"/>
      <c r="C742" s="92"/>
      <c r="D742" s="92"/>
      <c r="E742" s="92"/>
      <c r="F742" s="93"/>
    </row>
    <row r="743">
      <c r="A743" s="71"/>
      <c r="B743" s="72"/>
      <c r="C743" s="92"/>
      <c r="D743" s="92"/>
      <c r="E743" s="92"/>
      <c r="F743" s="93"/>
    </row>
    <row r="744">
      <c r="A744" s="71"/>
      <c r="B744" s="72"/>
      <c r="C744" s="92"/>
      <c r="D744" s="92"/>
      <c r="E744" s="92"/>
      <c r="F744" s="93"/>
    </row>
    <row r="745">
      <c r="A745" s="71"/>
      <c r="B745" s="72"/>
      <c r="C745" s="92"/>
      <c r="D745" s="92"/>
      <c r="E745" s="92"/>
      <c r="F745" s="93"/>
    </row>
    <row r="746">
      <c r="A746" s="71"/>
      <c r="B746" s="72"/>
      <c r="C746" s="92"/>
      <c r="D746" s="92"/>
      <c r="E746" s="92"/>
      <c r="F746" s="93"/>
    </row>
    <row r="747">
      <c r="A747" s="71"/>
      <c r="B747" s="72"/>
      <c r="C747" s="92"/>
      <c r="D747" s="92"/>
      <c r="E747" s="92"/>
      <c r="F747" s="93"/>
    </row>
    <row r="748">
      <c r="A748" s="71"/>
      <c r="B748" s="72"/>
      <c r="C748" s="92"/>
      <c r="D748" s="92"/>
      <c r="E748" s="92"/>
      <c r="F748" s="93"/>
    </row>
    <row r="749">
      <c r="A749" s="71"/>
      <c r="B749" s="72"/>
      <c r="C749" s="92"/>
      <c r="D749" s="92"/>
      <c r="E749" s="92"/>
      <c r="F749" s="93"/>
    </row>
    <row r="750">
      <c r="A750" s="71"/>
      <c r="B750" s="72"/>
      <c r="C750" s="92"/>
      <c r="D750" s="92"/>
      <c r="E750" s="92"/>
      <c r="F750" s="93"/>
    </row>
    <row r="751">
      <c r="A751" s="71"/>
      <c r="B751" s="72"/>
      <c r="C751" s="92"/>
      <c r="D751" s="92"/>
      <c r="E751" s="92"/>
      <c r="F751" s="93"/>
    </row>
    <row r="752">
      <c r="A752" s="71"/>
      <c r="B752" s="72"/>
      <c r="C752" s="92"/>
      <c r="D752" s="92"/>
      <c r="E752" s="92"/>
      <c r="F752" s="93"/>
    </row>
    <row r="753">
      <c r="A753" s="71"/>
      <c r="B753" s="72"/>
      <c r="C753" s="92"/>
      <c r="D753" s="92"/>
      <c r="E753" s="92"/>
      <c r="F753" s="93"/>
    </row>
    <row r="754">
      <c r="A754" s="71"/>
      <c r="B754" s="72"/>
      <c r="C754" s="92"/>
      <c r="D754" s="92"/>
      <c r="E754" s="92"/>
      <c r="F754" s="93"/>
    </row>
    <row r="755">
      <c r="A755" s="71"/>
      <c r="B755" s="72"/>
      <c r="C755" s="92"/>
      <c r="D755" s="92"/>
      <c r="E755" s="92"/>
      <c r="F755" s="93"/>
    </row>
    <row r="756">
      <c r="A756" s="71"/>
      <c r="B756" s="72"/>
      <c r="C756" s="92"/>
      <c r="D756" s="92"/>
      <c r="E756" s="92"/>
      <c r="F756" s="93"/>
    </row>
    <row r="757">
      <c r="A757" s="71"/>
      <c r="B757" s="72"/>
      <c r="C757" s="92"/>
      <c r="D757" s="92"/>
      <c r="E757" s="92"/>
      <c r="F757" s="93"/>
    </row>
    <row r="758">
      <c r="A758" s="71"/>
      <c r="B758" s="72"/>
      <c r="C758" s="92"/>
      <c r="D758" s="92"/>
      <c r="E758" s="92"/>
      <c r="F758" s="93"/>
    </row>
    <row r="759">
      <c r="A759" s="71"/>
      <c r="B759" s="72"/>
      <c r="C759" s="92"/>
      <c r="D759" s="92"/>
      <c r="E759" s="92"/>
      <c r="F759" s="93"/>
    </row>
    <row r="760">
      <c r="A760" s="71"/>
      <c r="B760" s="72"/>
      <c r="C760" s="92"/>
      <c r="D760" s="92"/>
      <c r="E760" s="92"/>
      <c r="F760" s="93"/>
    </row>
    <row r="761">
      <c r="A761" s="71"/>
      <c r="B761" s="72"/>
      <c r="C761" s="92"/>
      <c r="D761" s="92"/>
      <c r="E761" s="92"/>
      <c r="F761" s="93"/>
    </row>
    <row r="762">
      <c r="A762" s="71"/>
      <c r="B762" s="72"/>
      <c r="C762" s="92"/>
      <c r="D762" s="92"/>
      <c r="E762" s="92"/>
      <c r="F762" s="93"/>
    </row>
    <row r="763">
      <c r="A763" s="71"/>
      <c r="B763" s="72"/>
      <c r="C763" s="92"/>
      <c r="D763" s="92"/>
      <c r="E763" s="92"/>
      <c r="F763" s="93"/>
    </row>
    <row r="764">
      <c r="A764" s="71"/>
      <c r="B764" s="72"/>
      <c r="C764" s="92"/>
      <c r="D764" s="92"/>
      <c r="E764" s="92"/>
      <c r="F764" s="93"/>
    </row>
    <row r="765">
      <c r="A765" s="71"/>
      <c r="B765" s="72"/>
      <c r="C765" s="92"/>
      <c r="D765" s="92"/>
      <c r="E765" s="92"/>
      <c r="F765" s="93"/>
    </row>
    <row r="766">
      <c r="A766" s="71"/>
      <c r="B766" s="72"/>
      <c r="C766" s="92"/>
      <c r="D766" s="92"/>
      <c r="E766" s="92"/>
      <c r="F766" s="93"/>
    </row>
    <row r="767">
      <c r="A767" s="71"/>
      <c r="B767" s="72"/>
      <c r="C767" s="92"/>
      <c r="D767" s="92"/>
      <c r="E767" s="92"/>
      <c r="F767" s="93"/>
    </row>
    <row r="768">
      <c r="A768" s="71"/>
      <c r="B768" s="72"/>
      <c r="C768" s="92"/>
      <c r="D768" s="92"/>
      <c r="E768" s="92"/>
      <c r="F768" s="93"/>
    </row>
    <row r="769">
      <c r="A769" s="71"/>
      <c r="B769" s="72"/>
      <c r="C769" s="92"/>
      <c r="D769" s="92"/>
      <c r="E769" s="92"/>
      <c r="F769" s="93"/>
    </row>
    <row r="770">
      <c r="A770" s="71"/>
      <c r="B770" s="72"/>
      <c r="C770" s="92"/>
      <c r="D770" s="92"/>
      <c r="E770" s="92"/>
      <c r="F770" s="93"/>
    </row>
    <row r="771">
      <c r="A771" s="71"/>
      <c r="B771" s="72"/>
      <c r="C771" s="92"/>
      <c r="D771" s="92"/>
      <c r="E771" s="92"/>
      <c r="F771" s="93"/>
    </row>
    <row r="772">
      <c r="A772" s="71"/>
      <c r="B772" s="72"/>
      <c r="C772" s="92"/>
      <c r="D772" s="92"/>
      <c r="E772" s="92"/>
      <c r="F772" s="93"/>
    </row>
    <row r="773">
      <c r="A773" s="71"/>
      <c r="B773" s="72"/>
      <c r="C773" s="92"/>
      <c r="D773" s="92"/>
      <c r="E773" s="92"/>
      <c r="F773" s="93"/>
    </row>
    <row r="774">
      <c r="A774" s="71"/>
      <c r="B774" s="72"/>
      <c r="C774" s="92"/>
      <c r="D774" s="92"/>
      <c r="E774" s="92"/>
      <c r="F774" s="93"/>
    </row>
    <row r="775">
      <c r="A775" s="71"/>
      <c r="B775" s="72"/>
      <c r="C775" s="92"/>
      <c r="D775" s="92"/>
      <c r="E775" s="92"/>
      <c r="F775" s="93"/>
    </row>
    <row r="776">
      <c r="A776" s="71"/>
      <c r="B776" s="72"/>
      <c r="C776" s="92"/>
      <c r="D776" s="92"/>
      <c r="E776" s="92"/>
      <c r="F776" s="93"/>
    </row>
    <row r="777">
      <c r="A777" s="71"/>
      <c r="B777" s="72"/>
      <c r="C777" s="92"/>
      <c r="D777" s="92"/>
      <c r="E777" s="92"/>
      <c r="F777" s="93"/>
    </row>
    <row r="778">
      <c r="A778" s="71"/>
      <c r="B778" s="72"/>
      <c r="C778" s="92"/>
      <c r="D778" s="92"/>
      <c r="E778" s="92"/>
      <c r="F778" s="93"/>
    </row>
    <row r="779">
      <c r="A779" s="71"/>
      <c r="B779" s="72"/>
      <c r="C779" s="92"/>
      <c r="D779" s="92"/>
      <c r="E779" s="92"/>
      <c r="F779" s="93"/>
    </row>
    <row r="780">
      <c r="A780" s="71"/>
      <c r="B780" s="72"/>
      <c r="C780" s="92"/>
      <c r="D780" s="92"/>
      <c r="E780" s="92"/>
      <c r="F780" s="93"/>
    </row>
    <row r="781">
      <c r="A781" s="71"/>
      <c r="B781" s="72"/>
      <c r="C781" s="92"/>
      <c r="D781" s="92"/>
      <c r="E781" s="92"/>
      <c r="F781" s="93"/>
    </row>
    <row r="782">
      <c r="A782" s="71"/>
      <c r="B782" s="72"/>
      <c r="C782" s="92"/>
      <c r="D782" s="92"/>
      <c r="E782" s="92"/>
      <c r="F782" s="93"/>
    </row>
    <row r="783">
      <c r="A783" s="71"/>
      <c r="B783" s="72"/>
      <c r="C783" s="92"/>
      <c r="D783" s="92"/>
      <c r="E783" s="92"/>
      <c r="F783" s="93"/>
    </row>
    <row r="784">
      <c r="A784" s="71"/>
      <c r="B784" s="72"/>
      <c r="C784" s="92"/>
      <c r="D784" s="92"/>
      <c r="E784" s="92"/>
      <c r="F784" s="93"/>
    </row>
    <row r="785">
      <c r="A785" s="71"/>
      <c r="B785" s="72"/>
      <c r="C785" s="92"/>
      <c r="D785" s="92"/>
      <c r="E785" s="92"/>
      <c r="F785" s="93"/>
    </row>
    <row r="786">
      <c r="A786" s="71"/>
      <c r="B786" s="72"/>
      <c r="C786" s="92"/>
      <c r="D786" s="92"/>
      <c r="E786" s="92"/>
      <c r="F786" s="93"/>
    </row>
    <row r="787">
      <c r="A787" s="71"/>
      <c r="B787" s="72"/>
      <c r="C787" s="92"/>
      <c r="D787" s="92"/>
      <c r="E787" s="92"/>
      <c r="F787" s="93"/>
    </row>
    <row r="788">
      <c r="A788" s="71"/>
      <c r="B788" s="72"/>
      <c r="C788" s="92"/>
      <c r="D788" s="92"/>
      <c r="E788" s="92"/>
      <c r="F788" s="93"/>
    </row>
    <row r="789">
      <c r="A789" s="71"/>
      <c r="B789" s="72"/>
      <c r="C789" s="92"/>
      <c r="D789" s="92"/>
      <c r="E789" s="92"/>
      <c r="F789" s="93"/>
    </row>
    <row r="790">
      <c r="A790" s="71"/>
      <c r="B790" s="72"/>
      <c r="C790" s="92"/>
      <c r="D790" s="92"/>
      <c r="E790" s="92"/>
      <c r="F790" s="93"/>
    </row>
    <row r="791">
      <c r="A791" s="71"/>
      <c r="B791" s="72"/>
      <c r="C791" s="92"/>
      <c r="D791" s="92"/>
      <c r="E791" s="92"/>
      <c r="F791" s="93"/>
    </row>
    <row r="792">
      <c r="A792" s="71"/>
      <c r="B792" s="72"/>
      <c r="C792" s="92"/>
      <c r="D792" s="92"/>
      <c r="E792" s="92"/>
      <c r="F792" s="93"/>
    </row>
    <row r="793">
      <c r="A793" s="71"/>
      <c r="B793" s="72"/>
      <c r="C793" s="92"/>
      <c r="D793" s="92"/>
      <c r="E793" s="92"/>
      <c r="F793" s="93"/>
    </row>
    <row r="794">
      <c r="A794" s="71"/>
      <c r="B794" s="72"/>
      <c r="C794" s="92"/>
      <c r="D794" s="92"/>
      <c r="E794" s="92"/>
      <c r="F794" s="93"/>
    </row>
    <row r="795">
      <c r="A795" s="71"/>
      <c r="B795" s="72"/>
      <c r="C795" s="92"/>
      <c r="D795" s="92"/>
      <c r="E795" s="92"/>
      <c r="F795" s="93"/>
    </row>
    <row r="796">
      <c r="A796" s="71"/>
      <c r="B796" s="72"/>
      <c r="C796" s="92"/>
      <c r="D796" s="92"/>
      <c r="E796" s="92"/>
      <c r="F796" s="93"/>
    </row>
    <row r="797">
      <c r="A797" s="71"/>
      <c r="B797" s="72"/>
      <c r="C797" s="92"/>
      <c r="D797" s="92"/>
      <c r="E797" s="92"/>
      <c r="F797" s="93"/>
    </row>
    <row r="798">
      <c r="A798" s="71"/>
      <c r="B798" s="72"/>
      <c r="C798" s="92"/>
      <c r="D798" s="92"/>
      <c r="E798" s="92"/>
      <c r="F798" s="93"/>
    </row>
    <row r="799">
      <c r="A799" s="71"/>
      <c r="B799" s="72"/>
      <c r="C799" s="92"/>
      <c r="D799" s="92"/>
      <c r="E799" s="92"/>
      <c r="F799" s="93"/>
    </row>
    <row r="800">
      <c r="A800" s="71"/>
      <c r="B800" s="72"/>
      <c r="C800" s="92"/>
      <c r="D800" s="92"/>
      <c r="E800" s="92"/>
      <c r="F800" s="93"/>
    </row>
    <row r="801">
      <c r="A801" s="71"/>
      <c r="B801" s="72"/>
      <c r="C801" s="92"/>
      <c r="D801" s="92"/>
      <c r="E801" s="92"/>
      <c r="F801" s="93"/>
    </row>
    <row r="802">
      <c r="A802" s="71"/>
      <c r="B802" s="72"/>
      <c r="C802" s="92"/>
      <c r="D802" s="92"/>
      <c r="E802" s="92"/>
      <c r="F802" s="93"/>
    </row>
    <row r="803">
      <c r="A803" s="71"/>
      <c r="B803" s="72"/>
      <c r="C803" s="92"/>
      <c r="D803" s="92"/>
      <c r="E803" s="92"/>
      <c r="F803" s="93"/>
    </row>
    <row r="804">
      <c r="A804" s="71"/>
      <c r="B804" s="72"/>
      <c r="C804" s="92"/>
      <c r="D804" s="92"/>
      <c r="E804" s="92"/>
      <c r="F804" s="93"/>
    </row>
    <row r="805">
      <c r="A805" s="71"/>
      <c r="B805" s="72"/>
      <c r="C805" s="92"/>
      <c r="D805" s="92"/>
      <c r="E805" s="92"/>
      <c r="F805" s="93"/>
    </row>
    <row r="806">
      <c r="A806" s="71"/>
      <c r="B806" s="72"/>
      <c r="C806" s="92"/>
      <c r="D806" s="92"/>
      <c r="E806" s="92"/>
      <c r="F806" s="93"/>
    </row>
    <row r="807">
      <c r="A807" s="71"/>
      <c r="B807" s="72"/>
      <c r="C807" s="92"/>
      <c r="D807" s="92"/>
      <c r="E807" s="92"/>
      <c r="F807" s="93"/>
    </row>
    <row r="808">
      <c r="A808" s="71"/>
      <c r="B808" s="72"/>
      <c r="C808" s="92"/>
      <c r="D808" s="92"/>
      <c r="E808" s="92"/>
      <c r="F808" s="93"/>
    </row>
    <row r="809">
      <c r="A809" s="71"/>
      <c r="B809" s="72"/>
      <c r="C809" s="92"/>
      <c r="D809" s="92"/>
      <c r="E809" s="92"/>
      <c r="F809" s="93"/>
    </row>
    <row r="810">
      <c r="A810" s="71"/>
      <c r="B810" s="72"/>
      <c r="C810" s="92"/>
      <c r="D810" s="92"/>
      <c r="E810" s="92"/>
      <c r="F810" s="93"/>
    </row>
    <row r="811">
      <c r="A811" s="71"/>
      <c r="B811" s="72"/>
      <c r="C811" s="92"/>
      <c r="D811" s="92"/>
      <c r="E811" s="92"/>
      <c r="F811" s="93"/>
    </row>
    <row r="812">
      <c r="A812" s="71"/>
      <c r="B812" s="72"/>
      <c r="C812" s="92"/>
      <c r="D812" s="92"/>
      <c r="E812" s="92"/>
      <c r="F812" s="93"/>
    </row>
    <row r="813">
      <c r="A813" s="71"/>
      <c r="B813" s="72"/>
      <c r="C813" s="92"/>
      <c r="D813" s="92"/>
      <c r="E813" s="92"/>
      <c r="F813" s="93"/>
    </row>
    <row r="814">
      <c r="A814" s="71"/>
      <c r="B814" s="72"/>
      <c r="C814" s="92"/>
      <c r="D814" s="92"/>
      <c r="E814" s="92"/>
      <c r="F814" s="93"/>
    </row>
    <row r="815">
      <c r="A815" s="71"/>
      <c r="B815" s="72"/>
      <c r="C815" s="92"/>
      <c r="D815" s="92"/>
      <c r="E815" s="92"/>
      <c r="F815" s="93"/>
    </row>
    <row r="816">
      <c r="A816" s="71"/>
      <c r="B816" s="72"/>
      <c r="C816" s="92"/>
      <c r="D816" s="92"/>
      <c r="E816" s="92"/>
      <c r="F816" s="93"/>
    </row>
    <row r="817">
      <c r="A817" s="71"/>
      <c r="B817" s="72"/>
      <c r="C817" s="92"/>
      <c r="D817" s="92"/>
      <c r="E817" s="92"/>
      <c r="F817" s="93"/>
    </row>
    <row r="818">
      <c r="A818" s="71"/>
      <c r="B818" s="72"/>
      <c r="C818" s="92"/>
      <c r="D818" s="92"/>
      <c r="E818" s="92"/>
      <c r="F818" s="93"/>
    </row>
    <row r="819">
      <c r="A819" s="71"/>
      <c r="B819" s="72"/>
      <c r="C819" s="92"/>
      <c r="D819" s="92"/>
      <c r="E819" s="92"/>
      <c r="F819" s="93"/>
    </row>
    <row r="820">
      <c r="A820" s="71"/>
      <c r="B820" s="72"/>
      <c r="C820" s="92"/>
      <c r="D820" s="92"/>
      <c r="E820" s="92"/>
      <c r="F820" s="93"/>
    </row>
    <row r="821">
      <c r="A821" s="71"/>
      <c r="B821" s="72"/>
      <c r="C821" s="92"/>
      <c r="D821" s="92"/>
      <c r="E821" s="92"/>
      <c r="F821" s="93"/>
    </row>
    <row r="822">
      <c r="A822" s="71"/>
      <c r="B822" s="72"/>
      <c r="C822" s="92"/>
      <c r="D822" s="92"/>
      <c r="E822" s="92"/>
      <c r="F822" s="93"/>
    </row>
    <row r="823">
      <c r="A823" s="71"/>
      <c r="B823" s="72"/>
      <c r="C823" s="92"/>
      <c r="D823" s="92"/>
      <c r="E823" s="92"/>
      <c r="F823" s="93"/>
    </row>
    <row r="824">
      <c r="A824" s="71"/>
      <c r="B824" s="72"/>
      <c r="C824" s="92"/>
      <c r="D824" s="92"/>
      <c r="E824" s="92"/>
      <c r="F824" s="93"/>
    </row>
    <row r="825">
      <c r="A825" s="71"/>
      <c r="B825" s="72"/>
      <c r="C825" s="92"/>
      <c r="D825" s="92"/>
      <c r="E825" s="92"/>
      <c r="F825" s="93"/>
    </row>
    <row r="826">
      <c r="A826" s="71"/>
      <c r="B826" s="72"/>
      <c r="C826" s="92"/>
      <c r="D826" s="92"/>
      <c r="E826" s="92"/>
      <c r="F826" s="93"/>
    </row>
    <row r="827">
      <c r="A827" s="71"/>
      <c r="B827" s="72"/>
      <c r="C827" s="92"/>
      <c r="D827" s="92"/>
      <c r="E827" s="92"/>
      <c r="F827" s="93"/>
    </row>
    <row r="828">
      <c r="A828" s="71"/>
      <c r="B828" s="72"/>
      <c r="C828" s="92"/>
      <c r="D828" s="92"/>
      <c r="E828" s="92"/>
      <c r="F828" s="93"/>
    </row>
    <row r="829">
      <c r="A829" s="71"/>
      <c r="B829" s="72"/>
      <c r="C829" s="92"/>
      <c r="D829" s="92"/>
      <c r="E829" s="92"/>
      <c r="F829" s="93"/>
    </row>
    <row r="830">
      <c r="A830" s="71"/>
      <c r="B830" s="72"/>
      <c r="C830" s="92"/>
      <c r="D830" s="92"/>
      <c r="E830" s="92"/>
      <c r="F830" s="93"/>
    </row>
    <row r="831">
      <c r="A831" s="71"/>
      <c r="B831" s="72"/>
      <c r="C831" s="92"/>
      <c r="D831" s="92"/>
      <c r="E831" s="92"/>
      <c r="F831" s="93"/>
    </row>
    <row r="832">
      <c r="A832" s="71"/>
      <c r="B832" s="72"/>
      <c r="C832" s="92"/>
      <c r="D832" s="92"/>
      <c r="E832" s="92"/>
      <c r="F832" s="93"/>
    </row>
    <row r="833">
      <c r="A833" s="71"/>
      <c r="B833" s="72"/>
      <c r="C833" s="92"/>
      <c r="D833" s="92"/>
      <c r="E833" s="92"/>
      <c r="F833" s="93"/>
    </row>
    <row r="834">
      <c r="A834" s="71"/>
      <c r="B834" s="72"/>
      <c r="C834" s="92"/>
      <c r="D834" s="92"/>
      <c r="E834" s="92"/>
      <c r="F834" s="93"/>
    </row>
    <row r="835">
      <c r="A835" s="71"/>
      <c r="B835" s="72"/>
      <c r="C835" s="92"/>
      <c r="D835" s="92"/>
      <c r="E835" s="92"/>
      <c r="F835" s="93"/>
    </row>
    <row r="836">
      <c r="A836" s="71"/>
      <c r="B836" s="72"/>
      <c r="C836" s="92"/>
      <c r="D836" s="92"/>
      <c r="E836" s="92"/>
      <c r="F836" s="93"/>
    </row>
    <row r="837">
      <c r="A837" s="71"/>
      <c r="B837" s="72"/>
      <c r="C837" s="92"/>
      <c r="D837" s="92"/>
      <c r="E837" s="92"/>
      <c r="F837" s="93"/>
    </row>
    <row r="838">
      <c r="A838" s="71"/>
      <c r="B838" s="72"/>
      <c r="C838" s="92"/>
      <c r="D838" s="92"/>
      <c r="E838" s="92"/>
      <c r="F838" s="93"/>
    </row>
    <row r="839">
      <c r="A839" s="71"/>
      <c r="B839" s="72"/>
      <c r="C839" s="92"/>
      <c r="D839" s="92"/>
      <c r="E839" s="92"/>
      <c r="F839" s="93"/>
    </row>
    <row r="840">
      <c r="A840" s="71"/>
      <c r="B840" s="72"/>
      <c r="C840" s="92"/>
      <c r="D840" s="92"/>
      <c r="E840" s="92"/>
      <c r="F840" s="93"/>
    </row>
    <row r="841">
      <c r="A841" s="71"/>
      <c r="B841" s="72"/>
      <c r="C841" s="92"/>
      <c r="D841" s="92"/>
      <c r="E841" s="92"/>
      <c r="F841" s="93"/>
    </row>
    <row r="842">
      <c r="A842" s="71"/>
      <c r="B842" s="72"/>
      <c r="C842" s="92"/>
      <c r="D842" s="92"/>
      <c r="E842" s="92"/>
      <c r="F842" s="93"/>
    </row>
    <row r="843">
      <c r="A843" s="71"/>
      <c r="B843" s="72"/>
      <c r="C843" s="92"/>
      <c r="D843" s="92"/>
      <c r="E843" s="92"/>
      <c r="F843" s="93"/>
    </row>
    <row r="844">
      <c r="A844" s="71"/>
      <c r="B844" s="72"/>
      <c r="C844" s="92"/>
      <c r="D844" s="92"/>
      <c r="E844" s="92"/>
      <c r="F844" s="93"/>
    </row>
    <row r="845">
      <c r="A845" s="71"/>
      <c r="B845" s="72"/>
      <c r="C845" s="92"/>
      <c r="D845" s="92"/>
      <c r="E845" s="92"/>
      <c r="F845" s="93"/>
    </row>
    <row r="846">
      <c r="A846" s="71"/>
      <c r="B846" s="72"/>
      <c r="C846" s="92"/>
      <c r="D846" s="92"/>
      <c r="E846" s="92"/>
      <c r="F846" s="93"/>
    </row>
    <row r="847">
      <c r="A847" s="71"/>
      <c r="B847" s="72"/>
      <c r="C847" s="92"/>
      <c r="D847" s="92"/>
      <c r="E847" s="92"/>
      <c r="F847" s="93"/>
    </row>
    <row r="848">
      <c r="A848" s="71"/>
      <c r="B848" s="72"/>
      <c r="C848" s="92"/>
      <c r="D848" s="92"/>
      <c r="E848" s="92"/>
      <c r="F848" s="93"/>
    </row>
    <row r="849">
      <c r="A849" s="71"/>
      <c r="B849" s="72"/>
      <c r="C849" s="92"/>
      <c r="D849" s="92"/>
      <c r="E849" s="92"/>
      <c r="F849" s="93"/>
    </row>
    <row r="850">
      <c r="A850" s="71"/>
      <c r="B850" s="72"/>
      <c r="C850" s="92"/>
      <c r="D850" s="92"/>
      <c r="E850" s="92"/>
      <c r="F850" s="93"/>
    </row>
    <row r="851">
      <c r="A851" s="71"/>
      <c r="B851" s="72"/>
      <c r="C851" s="92"/>
      <c r="D851" s="92"/>
      <c r="E851" s="92"/>
      <c r="F851" s="93"/>
    </row>
    <row r="852">
      <c r="A852" s="71"/>
      <c r="B852" s="72"/>
      <c r="C852" s="92"/>
      <c r="D852" s="92"/>
      <c r="E852" s="92"/>
      <c r="F852" s="93"/>
    </row>
    <row r="853">
      <c r="A853" s="71"/>
      <c r="B853" s="72"/>
      <c r="C853" s="92"/>
      <c r="D853" s="92"/>
      <c r="E853" s="92"/>
      <c r="F853" s="93"/>
    </row>
    <row r="854">
      <c r="A854" s="71"/>
      <c r="B854" s="72"/>
      <c r="C854" s="92"/>
      <c r="D854" s="92"/>
      <c r="E854" s="92"/>
      <c r="F854" s="93"/>
    </row>
    <row r="855">
      <c r="A855" s="71"/>
      <c r="B855" s="72"/>
      <c r="C855" s="92"/>
      <c r="D855" s="92"/>
      <c r="E855" s="92"/>
      <c r="F855" s="93"/>
    </row>
    <row r="856">
      <c r="A856" s="71"/>
      <c r="B856" s="72"/>
      <c r="C856" s="92"/>
      <c r="D856" s="92"/>
      <c r="E856" s="92"/>
      <c r="F856" s="93"/>
    </row>
    <row r="857">
      <c r="A857" s="71"/>
      <c r="B857" s="72"/>
      <c r="C857" s="92"/>
      <c r="D857" s="92"/>
      <c r="E857" s="92"/>
      <c r="F857" s="93"/>
    </row>
    <row r="858">
      <c r="A858" s="71"/>
      <c r="B858" s="72"/>
      <c r="C858" s="92"/>
      <c r="D858" s="92"/>
      <c r="E858" s="92"/>
      <c r="F858" s="93"/>
    </row>
    <row r="859">
      <c r="A859" s="71"/>
      <c r="B859" s="72"/>
      <c r="C859" s="92"/>
      <c r="D859" s="92"/>
      <c r="E859" s="92"/>
      <c r="F859" s="93"/>
    </row>
    <row r="860">
      <c r="A860" s="71"/>
      <c r="B860" s="72"/>
      <c r="C860" s="92"/>
      <c r="D860" s="92"/>
      <c r="E860" s="92"/>
      <c r="F860" s="93"/>
    </row>
    <row r="861">
      <c r="A861" s="71"/>
      <c r="B861" s="72"/>
      <c r="C861" s="92"/>
      <c r="D861" s="92"/>
      <c r="E861" s="92"/>
      <c r="F861" s="93"/>
    </row>
    <row r="862">
      <c r="A862" s="71"/>
      <c r="B862" s="72"/>
      <c r="C862" s="92"/>
      <c r="D862" s="92"/>
      <c r="E862" s="92"/>
      <c r="F862" s="93"/>
    </row>
    <row r="863">
      <c r="A863" s="71"/>
      <c r="B863" s="72"/>
      <c r="C863" s="92"/>
      <c r="D863" s="92"/>
      <c r="E863" s="92"/>
      <c r="F863" s="93"/>
    </row>
    <row r="864">
      <c r="A864" s="71"/>
      <c r="B864" s="72"/>
      <c r="C864" s="92"/>
      <c r="D864" s="92"/>
      <c r="E864" s="92"/>
      <c r="F864" s="93"/>
    </row>
    <row r="865">
      <c r="A865" s="71"/>
      <c r="B865" s="72"/>
      <c r="C865" s="92"/>
      <c r="D865" s="92"/>
      <c r="E865" s="92"/>
      <c r="F865" s="93"/>
    </row>
    <row r="866">
      <c r="A866" s="71"/>
      <c r="B866" s="72"/>
      <c r="C866" s="92"/>
      <c r="D866" s="92"/>
      <c r="E866" s="92"/>
      <c r="F866" s="93"/>
    </row>
    <row r="867">
      <c r="A867" s="71"/>
      <c r="B867" s="72"/>
      <c r="C867" s="92"/>
      <c r="D867" s="92"/>
      <c r="E867" s="92"/>
      <c r="F867" s="93"/>
    </row>
    <row r="868">
      <c r="A868" s="71"/>
      <c r="B868" s="72"/>
      <c r="C868" s="92"/>
      <c r="D868" s="92"/>
      <c r="E868" s="92"/>
      <c r="F868" s="93"/>
    </row>
    <row r="869">
      <c r="A869" s="71"/>
      <c r="B869" s="72"/>
      <c r="C869" s="92"/>
      <c r="D869" s="92"/>
      <c r="E869" s="92"/>
      <c r="F869" s="93"/>
    </row>
    <row r="870">
      <c r="A870" s="71"/>
      <c r="B870" s="72"/>
      <c r="C870" s="92"/>
      <c r="D870" s="92"/>
      <c r="E870" s="92"/>
      <c r="F870" s="93"/>
    </row>
    <row r="871">
      <c r="A871" s="71"/>
      <c r="B871" s="72"/>
      <c r="C871" s="92"/>
      <c r="D871" s="92"/>
      <c r="E871" s="92"/>
      <c r="F871" s="93"/>
    </row>
    <row r="872">
      <c r="A872" s="71"/>
      <c r="B872" s="72"/>
      <c r="C872" s="92"/>
      <c r="D872" s="92"/>
      <c r="E872" s="92"/>
      <c r="F872" s="93"/>
    </row>
    <row r="873">
      <c r="A873" s="71"/>
      <c r="B873" s="72"/>
      <c r="C873" s="92"/>
      <c r="D873" s="92"/>
      <c r="E873" s="92"/>
      <c r="F873" s="93"/>
    </row>
    <row r="874">
      <c r="A874" s="71"/>
      <c r="B874" s="72"/>
      <c r="C874" s="92"/>
      <c r="D874" s="92"/>
      <c r="E874" s="92"/>
      <c r="F874" s="93"/>
    </row>
    <row r="875">
      <c r="A875" s="71"/>
      <c r="B875" s="72"/>
      <c r="C875" s="92"/>
      <c r="D875" s="92"/>
      <c r="E875" s="92"/>
      <c r="F875" s="93"/>
    </row>
    <row r="876">
      <c r="A876" s="71"/>
      <c r="B876" s="72"/>
      <c r="C876" s="92"/>
      <c r="D876" s="92"/>
      <c r="E876" s="92"/>
      <c r="F876" s="93"/>
    </row>
    <row r="877">
      <c r="A877" s="71"/>
      <c r="B877" s="72"/>
      <c r="C877" s="92"/>
      <c r="D877" s="92"/>
      <c r="E877" s="92"/>
      <c r="F877" s="93"/>
    </row>
    <row r="878">
      <c r="A878" s="71"/>
      <c r="B878" s="72"/>
      <c r="C878" s="92"/>
      <c r="D878" s="92"/>
      <c r="E878" s="92"/>
      <c r="F878" s="93"/>
    </row>
    <row r="879">
      <c r="A879" s="71"/>
      <c r="B879" s="72"/>
      <c r="C879" s="92"/>
      <c r="D879" s="92"/>
      <c r="E879" s="92"/>
      <c r="F879" s="93"/>
    </row>
    <row r="880">
      <c r="A880" s="71"/>
      <c r="B880" s="72"/>
      <c r="C880" s="92"/>
      <c r="D880" s="92"/>
      <c r="E880" s="92"/>
      <c r="F880" s="93"/>
    </row>
    <row r="881">
      <c r="A881" s="71"/>
      <c r="B881" s="72"/>
      <c r="C881" s="92"/>
      <c r="D881" s="92"/>
      <c r="E881" s="92"/>
      <c r="F881" s="93"/>
    </row>
    <row r="882">
      <c r="A882" s="71"/>
      <c r="B882" s="72"/>
      <c r="C882" s="92"/>
      <c r="D882" s="92"/>
      <c r="E882" s="92"/>
      <c r="F882" s="93"/>
    </row>
    <row r="883">
      <c r="A883" s="71"/>
      <c r="B883" s="72"/>
      <c r="C883" s="92"/>
      <c r="D883" s="92"/>
      <c r="E883" s="92"/>
      <c r="F883" s="93"/>
    </row>
    <row r="884">
      <c r="A884" s="71"/>
      <c r="B884" s="72"/>
      <c r="C884" s="92"/>
      <c r="D884" s="92"/>
      <c r="E884" s="92"/>
      <c r="F884" s="93"/>
    </row>
    <row r="885">
      <c r="A885" s="71"/>
      <c r="B885" s="72"/>
      <c r="C885" s="92"/>
      <c r="D885" s="92"/>
      <c r="E885" s="92"/>
      <c r="F885" s="93"/>
    </row>
    <row r="886">
      <c r="A886" s="71"/>
      <c r="B886" s="72"/>
      <c r="C886" s="92"/>
      <c r="D886" s="92"/>
      <c r="E886" s="92"/>
      <c r="F886" s="93"/>
    </row>
    <row r="887">
      <c r="A887" s="71"/>
      <c r="B887" s="72"/>
      <c r="C887" s="92"/>
      <c r="D887" s="92"/>
      <c r="E887" s="92"/>
      <c r="F887" s="93"/>
    </row>
    <row r="888">
      <c r="A888" s="71"/>
      <c r="B888" s="72"/>
      <c r="C888" s="92"/>
      <c r="D888" s="92"/>
      <c r="E888" s="92"/>
      <c r="F888" s="93"/>
    </row>
    <row r="889">
      <c r="A889" s="71"/>
      <c r="B889" s="72"/>
      <c r="C889" s="92"/>
      <c r="D889" s="92"/>
      <c r="E889" s="92"/>
      <c r="F889" s="93"/>
    </row>
    <row r="890">
      <c r="A890" s="71"/>
      <c r="B890" s="72"/>
      <c r="C890" s="92"/>
      <c r="D890" s="92"/>
      <c r="E890" s="92"/>
      <c r="F890" s="93"/>
    </row>
    <row r="891">
      <c r="A891" s="71"/>
      <c r="B891" s="72"/>
      <c r="C891" s="92"/>
      <c r="D891" s="92"/>
      <c r="E891" s="92"/>
      <c r="F891" s="93"/>
    </row>
    <row r="892">
      <c r="A892" s="71"/>
      <c r="B892" s="72"/>
      <c r="C892" s="92"/>
      <c r="D892" s="92"/>
      <c r="E892" s="92"/>
      <c r="F892" s="93"/>
    </row>
    <row r="893">
      <c r="A893" s="71"/>
      <c r="B893" s="72"/>
      <c r="C893" s="92"/>
      <c r="D893" s="92"/>
      <c r="E893" s="92"/>
      <c r="F893" s="93"/>
    </row>
    <row r="894">
      <c r="A894" s="71"/>
      <c r="B894" s="72"/>
      <c r="C894" s="92"/>
      <c r="D894" s="92"/>
      <c r="E894" s="92"/>
      <c r="F894" s="93"/>
    </row>
    <row r="895">
      <c r="A895" s="71"/>
      <c r="B895" s="72"/>
      <c r="C895" s="92"/>
      <c r="D895" s="92"/>
      <c r="E895" s="92"/>
      <c r="F895" s="93"/>
    </row>
    <row r="896">
      <c r="A896" s="71"/>
      <c r="B896" s="72"/>
      <c r="C896" s="92"/>
      <c r="D896" s="92"/>
      <c r="E896" s="92"/>
      <c r="F896" s="93"/>
    </row>
    <row r="897">
      <c r="A897" s="71"/>
      <c r="B897" s="72"/>
      <c r="C897" s="92"/>
      <c r="D897" s="92"/>
      <c r="E897" s="92"/>
      <c r="F897" s="93"/>
    </row>
    <row r="898">
      <c r="A898" s="71"/>
      <c r="B898" s="72"/>
      <c r="C898" s="92"/>
      <c r="D898" s="92"/>
      <c r="E898" s="92"/>
      <c r="F898" s="93"/>
    </row>
    <row r="899">
      <c r="A899" s="71"/>
      <c r="B899" s="72"/>
      <c r="C899" s="92"/>
      <c r="D899" s="92"/>
      <c r="E899" s="92"/>
      <c r="F899" s="93"/>
    </row>
    <row r="900">
      <c r="A900" s="71"/>
      <c r="B900" s="72"/>
      <c r="C900" s="92"/>
      <c r="D900" s="92"/>
      <c r="E900" s="92"/>
      <c r="F900" s="93"/>
    </row>
    <row r="901">
      <c r="A901" s="71"/>
      <c r="B901" s="72"/>
      <c r="C901" s="92"/>
      <c r="D901" s="92"/>
      <c r="E901" s="92"/>
      <c r="F901" s="93"/>
    </row>
    <row r="902">
      <c r="A902" s="71"/>
      <c r="B902" s="72"/>
      <c r="C902" s="92"/>
      <c r="D902" s="92"/>
      <c r="E902" s="92"/>
      <c r="F902" s="93"/>
    </row>
    <row r="903">
      <c r="A903" s="71"/>
      <c r="B903" s="72"/>
      <c r="C903" s="92"/>
      <c r="D903" s="92"/>
      <c r="E903" s="92"/>
      <c r="F903" s="93"/>
    </row>
    <row r="904">
      <c r="A904" s="71"/>
      <c r="B904" s="72"/>
      <c r="C904" s="92"/>
      <c r="D904" s="92"/>
      <c r="E904" s="92"/>
      <c r="F904" s="93"/>
    </row>
    <row r="905">
      <c r="A905" s="71"/>
      <c r="B905" s="72"/>
      <c r="C905" s="92"/>
      <c r="D905" s="92"/>
      <c r="E905" s="92"/>
      <c r="F905" s="93"/>
    </row>
    <row r="906">
      <c r="A906" s="71"/>
      <c r="B906" s="72"/>
      <c r="C906" s="92"/>
      <c r="D906" s="92"/>
      <c r="E906" s="92"/>
      <c r="F906" s="93"/>
    </row>
    <row r="907">
      <c r="A907" s="71"/>
      <c r="B907" s="72"/>
      <c r="C907" s="92"/>
      <c r="D907" s="92"/>
      <c r="E907" s="92"/>
      <c r="F907" s="93"/>
    </row>
    <row r="908">
      <c r="A908" s="71"/>
      <c r="B908" s="72"/>
      <c r="C908" s="92"/>
      <c r="D908" s="92"/>
      <c r="E908" s="92"/>
      <c r="F908" s="93"/>
    </row>
    <row r="909">
      <c r="A909" s="71"/>
      <c r="B909" s="72"/>
      <c r="C909" s="92"/>
      <c r="D909" s="92"/>
      <c r="E909" s="92"/>
      <c r="F909" s="93"/>
    </row>
    <row r="910">
      <c r="A910" s="71"/>
      <c r="B910" s="72"/>
      <c r="C910" s="92"/>
      <c r="D910" s="92"/>
      <c r="E910" s="92"/>
      <c r="F910" s="93"/>
    </row>
    <row r="911">
      <c r="A911" s="71"/>
      <c r="B911" s="72"/>
      <c r="C911" s="92"/>
      <c r="D911" s="92"/>
      <c r="E911" s="92"/>
      <c r="F911" s="93"/>
    </row>
    <row r="912">
      <c r="A912" s="71"/>
      <c r="B912" s="72"/>
      <c r="C912" s="92"/>
      <c r="D912" s="92"/>
      <c r="E912" s="92"/>
      <c r="F912" s="93"/>
    </row>
    <row r="913">
      <c r="A913" s="71"/>
      <c r="B913" s="72"/>
      <c r="C913" s="92"/>
      <c r="D913" s="92"/>
      <c r="E913" s="92"/>
      <c r="F913" s="93"/>
    </row>
    <row r="914">
      <c r="A914" s="71"/>
      <c r="B914" s="72"/>
      <c r="C914" s="92"/>
      <c r="D914" s="92"/>
      <c r="E914" s="92"/>
      <c r="F914" s="93"/>
    </row>
    <row r="915">
      <c r="A915" s="71"/>
      <c r="B915" s="72"/>
      <c r="C915" s="92"/>
      <c r="D915" s="92"/>
      <c r="E915" s="92"/>
      <c r="F915" s="93"/>
    </row>
    <row r="916">
      <c r="A916" s="71"/>
      <c r="B916" s="72"/>
      <c r="C916" s="92"/>
      <c r="D916" s="92"/>
      <c r="E916" s="92"/>
      <c r="F916" s="93"/>
    </row>
    <row r="917">
      <c r="A917" s="71"/>
      <c r="B917" s="72"/>
      <c r="C917" s="92"/>
      <c r="D917" s="92"/>
      <c r="E917" s="92"/>
      <c r="F917" s="93"/>
    </row>
    <row r="918">
      <c r="A918" s="71"/>
      <c r="B918" s="72"/>
      <c r="C918" s="92"/>
      <c r="D918" s="92"/>
      <c r="E918" s="92"/>
      <c r="F918" s="93"/>
    </row>
    <row r="919">
      <c r="A919" s="71"/>
      <c r="B919" s="72"/>
      <c r="C919" s="92"/>
      <c r="D919" s="92"/>
      <c r="E919" s="92"/>
      <c r="F919" s="93"/>
    </row>
    <row r="920">
      <c r="A920" s="71"/>
      <c r="B920" s="72"/>
      <c r="C920" s="92"/>
      <c r="D920" s="92"/>
      <c r="E920" s="92"/>
      <c r="F920" s="93"/>
    </row>
    <row r="921">
      <c r="A921" s="71"/>
      <c r="B921" s="72"/>
      <c r="C921" s="92"/>
      <c r="D921" s="92"/>
      <c r="E921" s="92"/>
      <c r="F921" s="93"/>
    </row>
    <row r="922">
      <c r="A922" s="71"/>
      <c r="B922" s="72"/>
      <c r="C922" s="92"/>
      <c r="D922" s="92"/>
      <c r="E922" s="92"/>
      <c r="F922" s="93"/>
    </row>
    <row r="923">
      <c r="A923" s="71"/>
      <c r="B923" s="72"/>
      <c r="C923" s="92"/>
      <c r="D923" s="92"/>
      <c r="E923" s="92"/>
      <c r="F923" s="93"/>
    </row>
    <row r="924">
      <c r="A924" s="71"/>
      <c r="B924" s="72"/>
      <c r="C924" s="92"/>
      <c r="D924" s="92"/>
      <c r="E924" s="92"/>
      <c r="F924" s="93"/>
    </row>
    <row r="925">
      <c r="A925" s="71"/>
      <c r="B925" s="72"/>
      <c r="C925" s="92"/>
      <c r="D925" s="92"/>
      <c r="E925" s="92"/>
      <c r="F925" s="93"/>
    </row>
    <row r="926">
      <c r="A926" s="71"/>
      <c r="B926" s="72"/>
      <c r="C926" s="92"/>
      <c r="D926" s="92"/>
      <c r="E926" s="92"/>
      <c r="F926" s="93"/>
    </row>
    <row r="927">
      <c r="A927" s="71"/>
      <c r="B927" s="72"/>
      <c r="C927" s="92"/>
      <c r="D927" s="92"/>
      <c r="E927" s="92"/>
      <c r="F927" s="93"/>
    </row>
    <row r="928">
      <c r="A928" s="71"/>
      <c r="B928" s="72"/>
      <c r="C928" s="92"/>
      <c r="D928" s="92"/>
      <c r="E928" s="92"/>
      <c r="F928" s="93"/>
    </row>
    <row r="929">
      <c r="A929" s="71"/>
      <c r="B929" s="72"/>
      <c r="C929" s="92"/>
      <c r="D929" s="92"/>
      <c r="E929" s="92"/>
      <c r="F929" s="93"/>
    </row>
    <row r="930">
      <c r="A930" s="71"/>
      <c r="B930" s="72"/>
      <c r="C930" s="92"/>
      <c r="D930" s="92"/>
      <c r="E930" s="92"/>
      <c r="F930" s="93"/>
    </row>
    <row r="931">
      <c r="A931" s="71"/>
      <c r="B931" s="72"/>
      <c r="C931" s="92"/>
      <c r="D931" s="92"/>
      <c r="E931" s="92"/>
      <c r="F931" s="93"/>
    </row>
    <row r="932">
      <c r="A932" s="71"/>
      <c r="B932" s="72"/>
      <c r="C932" s="92"/>
      <c r="D932" s="92"/>
      <c r="E932" s="92"/>
      <c r="F932" s="93"/>
    </row>
    <row r="933">
      <c r="A933" s="71"/>
      <c r="B933" s="72"/>
      <c r="C933" s="92"/>
      <c r="D933" s="92"/>
      <c r="E933" s="92"/>
      <c r="F933" s="93"/>
    </row>
    <row r="934">
      <c r="A934" s="71"/>
      <c r="B934" s="72"/>
      <c r="C934" s="92"/>
      <c r="D934" s="92"/>
      <c r="E934" s="92"/>
      <c r="F934" s="93"/>
    </row>
    <row r="935">
      <c r="A935" s="71"/>
      <c r="B935" s="72"/>
      <c r="C935" s="92"/>
      <c r="D935" s="92"/>
      <c r="E935" s="92"/>
      <c r="F935" s="93"/>
    </row>
    <row r="936">
      <c r="A936" s="71"/>
      <c r="B936" s="72"/>
      <c r="C936" s="92"/>
      <c r="D936" s="92"/>
      <c r="E936" s="92"/>
      <c r="F936" s="93"/>
    </row>
    <row r="937">
      <c r="A937" s="71"/>
      <c r="B937" s="72"/>
      <c r="C937" s="92"/>
      <c r="D937" s="92"/>
      <c r="E937" s="92"/>
      <c r="F937" s="93"/>
    </row>
    <row r="938">
      <c r="A938" s="71"/>
      <c r="B938" s="72"/>
      <c r="C938" s="92"/>
      <c r="D938" s="92"/>
      <c r="E938" s="92"/>
      <c r="F938" s="93"/>
    </row>
    <row r="939">
      <c r="A939" s="71"/>
      <c r="B939" s="72"/>
      <c r="C939" s="92"/>
      <c r="D939" s="92"/>
      <c r="E939" s="92"/>
      <c r="F939" s="93"/>
    </row>
    <row r="940">
      <c r="A940" s="71"/>
      <c r="B940" s="72"/>
      <c r="C940" s="92"/>
      <c r="D940" s="92"/>
      <c r="E940" s="92"/>
      <c r="F940" s="93"/>
    </row>
    <row r="941">
      <c r="A941" s="71"/>
      <c r="B941" s="72"/>
      <c r="C941" s="92"/>
      <c r="D941" s="92"/>
      <c r="E941" s="92"/>
      <c r="F941" s="93"/>
    </row>
    <row r="942">
      <c r="A942" s="71"/>
      <c r="B942" s="72"/>
      <c r="C942" s="92"/>
      <c r="D942" s="92"/>
      <c r="E942" s="92"/>
      <c r="F942" s="93"/>
    </row>
    <row r="943">
      <c r="A943" s="71"/>
      <c r="B943" s="72"/>
      <c r="C943" s="92"/>
      <c r="D943" s="92"/>
      <c r="E943" s="92"/>
      <c r="F943" s="93"/>
    </row>
    <row r="944">
      <c r="A944" s="71"/>
      <c r="B944" s="72"/>
      <c r="C944" s="92"/>
      <c r="D944" s="92"/>
      <c r="E944" s="92"/>
      <c r="F944" s="93"/>
    </row>
    <row r="945">
      <c r="A945" s="71"/>
      <c r="B945" s="72"/>
      <c r="C945" s="92"/>
      <c r="D945" s="92"/>
      <c r="E945" s="92"/>
      <c r="F945" s="93"/>
    </row>
    <row r="946">
      <c r="A946" s="71"/>
      <c r="B946" s="72"/>
      <c r="C946" s="92"/>
      <c r="D946" s="92"/>
      <c r="E946" s="92"/>
      <c r="F946" s="93"/>
    </row>
    <row r="947">
      <c r="A947" s="71"/>
      <c r="B947" s="72"/>
      <c r="C947" s="92"/>
      <c r="D947" s="92"/>
      <c r="E947" s="92"/>
      <c r="F947" s="93"/>
    </row>
    <row r="948">
      <c r="A948" s="71"/>
      <c r="B948" s="72"/>
      <c r="C948" s="92"/>
      <c r="D948" s="92"/>
      <c r="E948" s="92"/>
      <c r="F948" s="93"/>
    </row>
    <row r="949">
      <c r="A949" s="71"/>
      <c r="B949" s="72"/>
      <c r="C949" s="92"/>
      <c r="D949" s="92"/>
      <c r="E949" s="92"/>
      <c r="F949" s="93"/>
    </row>
    <row r="950">
      <c r="A950" s="71"/>
      <c r="B950" s="72"/>
      <c r="C950" s="92"/>
      <c r="D950" s="92"/>
      <c r="E950" s="92"/>
      <c r="F950" s="93"/>
    </row>
    <row r="951">
      <c r="A951" s="71"/>
      <c r="B951" s="72"/>
      <c r="C951" s="92"/>
      <c r="D951" s="92"/>
      <c r="E951" s="92"/>
      <c r="F951" s="93"/>
    </row>
    <row r="952">
      <c r="A952" s="71"/>
      <c r="B952" s="72"/>
      <c r="C952" s="92"/>
      <c r="D952" s="92"/>
      <c r="E952" s="92"/>
      <c r="F952" s="93"/>
    </row>
    <row r="953">
      <c r="A953" s="71"/>
      <c r="B953" s="72"/>
      <c r="C953" s="92"/>
      <c r="D953" s="92"/>
      <c r="E953" s="92"/>
      <c r="F953" s="93"/>
    </row>
    <row r="954">
      <c r="A954" s="71"/>
      <c r="B954" s="72"/>
      <c r="C954" s="92"/>
      <c r="D954" s="92"/>
      <c r="E954" s="92"/>
      <c r="F954" s="93"/>
    </row>
    <row r="955">
      <c r="A955" s="71"/>
      <c r="B955" s="72"/>
      <c r="C955" s="92"/>
      <c r="D955" s="92"/>
      <c r="E955" s="92"/>
      <c r="F955" s="93"/>
    </row>
    <row r="956">
      <c r="A956" s="71"/>
      <c r="B956" s="72"/>
      <c r="C956" s="92"/>
      <c r="D956" s="92"/>
      <c r="E956" s="92"/>
      <c r="F956" s="93"/>
    </row>
    <row r="957">
      <c r="A957" s="71"/>
      <c r="B957" s="72"/>
      <c r="C957" s="92"/>
      <c r="D957" s="92"/>
      <c r="E957" s="92"/>
      <c r="F957" s="93"/>
    </row>
    <row r="958">
      <c r="A958" s="71"/>
      <c r="B958" s="72"/>
      <c r="C958" s="92"/>
      <c r="D958" s="92"/>
      <c r="E958" s="92"/>
      <c r="F958" s="93"/>
    </row>
    <row r="959">
      <c r="A959" s="71"/>
      <c r="B959" s="72"/>
      <c r="C959" s="92"/>
      <c r="D959" s="92"/>
      <c r="E959" s="92"/>
      <c r="F959" s="93"/>
    </row>
    <row r="960">
      <c r="A960" s="71"/>
      <c r="B960" s="72"/>
      <c r="C960" s="92"/>
      <c r="D960" s="92"/>
      <c r="E960" s="92"/>
      <c r="F960" s="93"/>
    </row>
    <row r="961">
      <c r="A961" s="71"/>
      <c r="B961" s="72"/>
      <c r="C961" s="92"/>
      <c r="D961" s="92"/>
      <c r="E961" s="92"/>
      <c r="F961" s="93"/>
    </row>
    <row r="962">
      <c r="A962" s="71"/>
      <c r="B962" s="72"/>
      <c r="C962" s="92"/>
      <c r="D962" s="92"/>
      <c r="E962" s="92"/>
      <c r="F962" s="93"/>
    </row>
    <row r="963">
      <c r="A963" s="71"/>
      <c r="B963" s="72"/>
      <c r="C963" s="92"/>
      <c r="D963" s="92"/>
      <c r="E963" s="92"/>
      <c r="F963" s="93"/>
    </row>
    <row r="964">
      <c r="A964" s="71"/>
      <c r="B964" s="72"/>
      <c r="C964" s="92"/>
      <c r="D964" s="92"/>
      <c r="E964" s="92"/>
      <c r="F964" s="93"/>
    </row>
    <row r="965">
      <c r="A965" s="71"/>
      <c r="B965" s="72"/>
      <c r="C965" s="92"/>
      <c r="D965" s="92"/>
      <c r="E965" s="92"/>
      <c r="F965" s="93"/>
    </row>
    <row r="966">
      <c r="A966" s="71"/>
      <c r="B966" s="72"/>
      <c r="C966" s="92"/>
      <c r="D966" s="92"/>
      <c r="E966" s="92"/>
      <c r="F966" s="93"/>
    </row>
    <row r="967">
      <c r="A967" s="71"/>
      <c r="B967" s="72"/>
      <c r="C967" s="92"/>
      <c r="D967" s="92"/>
      <c r="E967" s="92"/>
      <c r="F967" s="93"/>
    </row>
    <row r="968">
      <c r="A968" s="71"/>
      <c r="B968" s="72"/>
      <c r="C968" s="92"/>
      <c r="D968" s="92"/>
      <c r="E968" s="92"/>
      <c r="F968" s="93"/>
    </row>
    <row r="969">
      <c r="A969" s="71"/>
      <c r="B969" s="72"/>
      <c r="C969" s="92"/>
      <c r="D969" s="92"/>
      <c r="E969" s="92"/>
      <c r="F969" s="93"/>
    </row>
    <row r="970">
      <c r="A970" s="71"/>
      <c r="B970" s="72"/>
      <c r="C970" s="92"/>
      <c r="D970" s="92"/>
      <c r="E970" s="92"/>
      <c r="F970" s="93"/>
    </row>
    <row r="971">
      <c r="A971" s="71"/>
      <c r="B971" s="72"/>
      <c r="C971" s="92"/>
      <c r="D971" s="92"/>
      <c r="E971" s="92"/>
      <c r="F971" s="93"/>
    </row>
    <row r="972">
      <c r="A972" s="71"/>
      <c r="B972" s="72"/>
      <c r="C972" s="92"/>
      <c r="D972" s="92"/>
      <c r="E972" s="92"/>
      <c r="F972" s="93"/>
    </row>
    <row r="973">
      <c r="A973" s="71"/>
      <c r="B973" s="72"/>
      <c r="C973" s="92"/>
      <c r="D973" s="92"/>
      <c r="E973" s="92"/>
      <c r="F973" s="93"/>
    </row>
    <row r="974">
      <c r="A974" s="71"/>
      <c r="B974" s="72"/>
      <c r="C974" s="92"/>
      <c r="D974" s="92"/>
      <c r="E974" s="92"/>
      <c r="F974" s="93"/>
    </row>
    <row r="975">
      <c r="A975" s="71"/>
      <c r="B975" s="72"/>
      <c r="C975" s="92"/>
      <c r="D975" s="92"/>
      <c r="E975" s="92"/>
      <c r="F975" s="93"/>
    </row>
    <row r="976">
      <c r="A976" s="71"/>
      <c r="B976" s="72"/>
      <c r="C976" s="92"/>
      <c r="D976" s="92"/>
      <c r="E976" s="92"/>
      <c r="F976" s="93"/>
    </row>
    <row r="977">
      <c r="A977" s="71"/>
      <c r="B977" s="72"/>
      <c r="C977" s="92"/>
      <c r="D977" s="92"/>
      <c r="E977" s="92"/>
      <c r="F977" s="93"/>
    </row>
    <row r="978">
      <c r="A978" s="71"/>
      <c r="B978" s="72"/>
      <c r="C978" s="92"/>
      <c r="D978" s="92"/>
      <c r="E978" s="92"/>
      <c r="F978" s="93"/>
    </row>
    <row r="979">
      <c r="A979" s="71"/>
      <c r="B979" s="72"/>
      <c r="C979" s="92"/>
      <c r="D979" s="92"/>
      <c r="E979" s="92"/>
      <c r="F979" s="93"/>
    </row>
    <row r="980">
      <c r="A980" s="71"/>
      <c r="B980" s="72"/>
      <c r="C980" s="92"/>
      <c r="D980" s="92"/>
      <c r="E980" s="92"/>
      <c r="F980" s="93"/>
    </row>
    <row r="981">
      <c r="A981" s="71"/>
      <c r="B981" s="72"/>
      <c r="C981" s="92"/>
      <c r="D981" s="92"/>
      <c r="E981" s="92"/>
      <c r="F981" s="93"/>
    </row>
    <row r="982">
      <c r="A982" s="71"/>
      <c r="B982" s="72"/>
      <c r="C982" s="92"/>
      <c r="D982" s="92"/>
      <c r="E982" s="92"/>
      <c r="F982" s="93"/>
    </row>
    <row r="983">
      <c r="A983" s="71"/>
      <c r="B983" s="72"/>
      <c r="C983" s="92"/>
      <c r="D983" s="92"/>
      <c r="E983" s="92"/>
      <c r="F983" s="93"/>
    </row>
    <row r="984">
      <c r="A984" s="71"/>
      <c r="B984" s="72"/>
      <c r="C984" s="92"/>
      <c r="D984" s="92"/>
      <c r="E984" s="92"/>
      <c r="F984" s="93"/>
    </row>
    <row r="985">
      <c r="A985" s="71"/>
      <c r="B985" s="72"/>
      <c r="C985" s="92"/>
      <c r="D985" s="92"/>
      <c r="E985" s="92"/>
      <c r="F985" s="93"/>
    </row>
    <row r="986">
      <c r="A986" s="71"/>
      <c r="B986" s="72"/>
      <c r="C986" s="92"/>
      <c r="D986" s="92"/>
      <c r="E986" s="92"/>
      <c r="F986" s="93"/>
    </row>
    <row r="987">
      <c r="A987" s="71"/>
      <c r="B987" s="72"/>
      <c r="C987" s="92"/>
      <c r="D987" s="92"/>
      <c r="E987" s="92"/>
      <c r="F987" s="93"/>
    </row>
    <row r="988">
      <c r="A988" s="71"/>
      <c r="B988" s="72"/>
      <c r="C988" s="92"/>
      <c r="D988" s="92"/>
      <c r="E988" s="92"/>
      <c r="F988" s="93"/>
    </row>
    <row r="989">
      <c r="A989" s="71"/>
      <c r="B989" s="72"/>
      <c r="C989" s="92"/>
      <c r="D989" s="92"/>
      <c r="E989" s="92"/>
      <c r="F989" s="93"/>
    </row>
    <row r="990">
      <c r="A990" s="71"/>
      <c r="B990" s="72"/>
      <c r="C990" s="92"/>
      <c r="D990" s="92"/>
      <c r="E990" s="92"/>
      <c r="F990" s="93"/>
    </row>
    <row r="991">
      <c r="A991" s="71"/>
      <c r="B991" s="72"/>
      <c r="C991" s="92"/>
      <c r="D991" s="92"/>
      <c r="E991" s="92"/>
      <c r="F991" s="93"/>
    </row>
    <row r="992">
      <c r="A992" s="71"/>
      <c r="B992" s="72"/>
      <c r="C992" s="92"/>
      <c r="D992" s="92"/>
      <c r="E992" s="92"/>
      <c r="F992" s="93"/>
    </row>
    <row r="993">
      <c r="A993" s="71"/>
      <c r="B993" s="72"/>
      <c r="C993" s="92"/>
      <c r="D993" s="92"/>
      <c r="E993" s="92"/>
      <c r="F993" s="93"/>
    </row>
    <row r="994">
      <c r="A994" s="71"/>
      <c r="B994" s="72"/>
      <c r="C994" s="92"/>
      <c r="D994" s="92"/>
      <c r="E994" s="92"/>
      <c r="F994" s="93"/>
    </row>
    <row r="995">
      <c r="A995" s="71"/>
      <c r="B995" s="72"/>
      <c r="C995" s="92"/>
      <c r="D995" s="92"/>
      <c r="E995" s="92"/>
      <c r="F995" s="93"/>
    </row>
    <row r="996">
      <c r="A996" s="71"/>
      <c r="B996" s="72"/>
      <c r="C996" s="92"/>
      <c r="D996" s="92"/>
      <c r="E996" s="92"/>
      <c r="F996" s="93"/>
    </row>
    <row r="997">
      <c r="A997" s="71"/>
      <c r="B997" s="72"/>
      <c r="C997" s="92"/>
      <c r="D997" s="92"/>
      <c r="E997" s="92"/>
      <c r="F997" s="93"/>
    </row>
    <row r="998">
      <c r="A998" s="71"/>
      <c r="B998" s="72"/>
      <c r="C998" s="92"/>
      <c r="D998" s="92"/>
      <c r="E998" s="92"/>
      <c r="F998" s="93"/>
    </row>
    <row r="999">
      <c r="A999" s="71"/>
      <c r="B999" s="72"/>
      <c r="C999" s="92"/>
      <c r="D999" s="92"/>
      <c r="E999" s="92"/>
      <c r="F999" s="93"/>
    </row>
    <row r="1000">
      <c r="A1000" s="71"/>
      <c r="B1000" s="72"/>
      <c r="C1000" s="92"/>
      <c r="D1000" s="92"/>
      <c r="E1000" s="92"/>
      <c r="F1000" s="93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76" t="s">
        <v>15</v>
      </c>
      <c r="B1" s="76" t="s">
        <v>121</v>
      </c>
      <c r="C1" s="74"/>
      <c r="D1" s="76"/>
      <c r="E1" s="76"/>
      <c r="F1" s="76"/>
      <c r="G1" s="76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X1" s="2" t="s">
        <v>122</v>
      </c>
      <c r="Y1" s="2" t="s">
        <v>123</v>
      </c>
      <c r="Z1" s="2" t="s">
        <v>124</v>
      </c>
    </row>
    <row r="2">
      <c r="A2" s="82">
        <v>46073.0</v>
      </c>
      <c r="B2" s="94">
        <f t="array" ref="B2">INDEX(Daily!A:A,COUNTA(Daily!A:A))</f>
        <v>46076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X2" s="95" t="str">
        <f>IFERROR(__xludf.DUMMYFUNCTION("FILTER(Daily!A2:A220, Daily!G2:G220=""OK"", Daily!B2:B220&gt;0)"),"#N/A")</f>
        <v>#N/A</v>
      </c>
      <c r="Y2" s="95" t="str">
        <f>IFERROR(__xludf.DUMMYFUNCTION("FILTER(Daily!B2:B220, Daily!G2:G220=""OK"", Daily!B2:B220&gt;0)"),"#N/A")</f>
        <v>#N/A</v>
      </c>
      <c r="Z2" s="95" t="str">
        <f>IFERROR(__xludf.DUMMYFUNCTION("FILTER(Daily!E2:E220, Daily!G2:G220=""OK"", Daily!B2:B220&gt;0)"),"#N/A")</f>
        <v>#N/A</v>
      </c>
    </row>
    <row r="3">
      <c r="A3" s="79" t="s">
        <v>125</v>
      </c>
      <c r="B3" s="96">
        <f t="array" ref="B3">INDEX(Daily!B:B,COUNTA(Daily!B:B))</f>
        <v>571.73</v>
      </c>
      <c r="C3" s="68"/>
      <c r="D3" s="68"/>
      <c r="E3" s="68"/>
      <c r="F3" s="68"/>
      <c r="G3" s="68"/>
      <c r="H3" s="68"/>
      <c r="I3" s="68"/>
      <c r="J3" s="68"/>
      <c r="K3" s="68"/>
      <c r="L3" s="68"/>
      <c r="M3" s="70"/>
      <c r="N3" s="70"/>
      <c r="O3" s="70"/>
      <c r="P3" s="70"/>
      <c r="Q3" s="70"/>
      <c r="R3" s="70"/>
      <c r="S3" s="70"/>
      <c r="T3" s="70"/>
    </row>
    <row r="4">
      <c r="A4" s="79" t="s">
        <v>126</v>
      </c>
      <c r="B4" s="96">
        <f t="array" ref="B4">INDEX(Daily!C:C,COUNTA(Daily!C:C))</f>
        <v>1410.13</v>
      </c>
      <c r="C4" s="68"/>
      <c r="D4" s="68"/>
      <c r="E4" s="68"/>
      <c r="F4" s="68"/>
      <c r="G4" s="68"/>
      <c r="H4" s="68"/>
      <c r="I4" s="68"/>
      <c r="J4" s="68"/>
      <c r="K4" s="68"/>
      <c r="L4" s="68"/>
      <c r="M4" s="70"/>
      <c r="N4" s="70"/>
      <c r="O4" s="70"/>
      <c r="P4" s="70"/>
      <c r="Q4" s="70"/>
      <c r="R4" s="70"/>
      <c r="S4" s="70"/>
      <c r="T4" s="70"/>
    </row>
    <row r="5">
      <c r="A5" s="79" t="s">
        <v>127</v>
      </c>
      <c r="B5" s="96">
        <f t="array" ref="B5">INDEX(Daily!D:D,COUNTA(Daily!D:D))</f>
        <v>3220.98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70"/>
      <c r="N5" s="70"/>
      <c r="O5" s="70"/>
      <c r="P5" s="70"/>
      <c r="Q5" s="70"/>
      <c r="R5" s="70"/>
      <c r="S5" s="70"/>
      <c r="T5" s="70"/>
    </row>
    <row r="6">
      <c r="A6" s="79" t="s">
        <v>128</v>
      </c>
      <c r="B6" s="96">
        <f t="array" ref="B6">INDEX(Daily!E:E,COUNTA(Daily!E:E))</f>
        <v>5202.84</v>
      </c>
      <c r="C6" s="68"/>
      <c r="D6" s="68"/>
      <c r="E6" s="68"/>
      <c r="F6" s="68"/>
      <c r="G6" s="68"/>
      <c r="H6" s="68"/>
      <c r="I6" s="68"/>
      <c r="J6" s="68"/>
      <c r="K6" s="68"/>
      <c r="L6" s="68"/>
      <c r="M6" s="70"/>
      <c r="N6" s="70"/>
      <c r="O6" s="70"/>
      <c r="P6" s="70"/>
      <c r="Q6" s="70"/>
      <c r="R6" s="70"/>
      <c r="S6" s="70"/>
      <c r="T6" s="70"/>
    </row>
    <row r="7">
      <c r="A7" s="79" t="s">
        <v>129</v>
      </c>
      <c r="B7" s="96">
        <f t="array" ref="B7">INDEX(Daily!F:F,COUNTA(Daily!F:F))</f>
        <v>1.25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70"/>
      <c r="N7" s="70"/>
      <c r="O7" s="70"/>
      <c r="P7" s="70"/>
      <c r="Q7" s="70"/>
      <c r="R7" s="70"/>
      <c r="S7" s="70"/>
      <c r="T7" s="70"/>
    </row>
    <row r="8">
      <c r="A8" s="79" t="s">
        <v>130</v>
      </c>
      <c r="B8" s="96">
        <f t="array" ref="B8">B3-INDEX(Daily!B:B,2)</f>
        <v>-2893.65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70"/>
      <c r="N8" s="70"/>
      <c r="O8" s="70"/>
      <c r="P8" s="70"/>
      <c r="Q8" s="70"/>
      <c r="R8" s="70"/>
      <c r="S8" s="70"/>
      <c r="T8" s="70"/>
    </row>
    <row r="9">
      <c r="A9" s="79" t="s">
        <v>131</v>
      </c>
      <c r="B9" s="97">
        <f t="array" ref="B9">(B3/INDEX(Daily!B:B,2))-1</f>
        <v>-0.8350166504</v>
      </c>
      <c r="C9" s="68"/>
      <c r="D9" s="68"/>
      <c r="E9" s="68"/>
      <c r="F9" s="68"/>
      <c r="G9" s="68"/>
      <c r="H9" s="68"/>
      <c r="I9" s="68"/>
      <c r="J9" s="68"/>
      <c r="K9" s="68"/>
      <c r="L9" s="68"/>
      <c r="M9" s="70"/>
      <c r="N9" s="70"/>
      <c r="O9" s="70"/>
      <c r="P9" s="70"/>
      <c r="Q9" s="70"/>
      <c r="R9" s="70"/>
      <c r="S9" s="70"/>
      <c r="T9" s="70"/>
    </row>
    <row r="10">
      <c r="A10" s="79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70"/>
      <c r="N10" s="70"/>
      <c r="O10" s="70"/>
      <c r="P10" s="70"/>
      <c r="Q10" s="70"/>
      <c r="R10" s="70"/>
      <c r="S10" s="70"/>
      <c r="T10" s="70"/>
    </row>
    <row r="11">
      <c r="A11" s="79" t="s">
        <v>132</v>
      </c>
      <c r="B11" s="79" t="s">
        <v>133</v>
      </c>
      <c r="C11" s="79" t="s">
        <v>134</v>
      </c>
      <c r="D11" s="68"/>
      <c r="E11" s="68"/>
      <c r="F11" s="68"/>
      <c r="G11" s="68"/>
      <c r="H11" s="68"/>
      <c r="I11" s="68"/>
      <c r="J11" s="68"/>
      <c r="K11" s="68"/>
      <c r="L11" s="68"/>
      <c r="M11" s="70"/>
      <c r="N11" s="70"/>
      <c r="O11" s="70"/>
      <c r="P11" s="70"/>
      <c r="Q11" s="70"/>
      <c r="R11" s="70"/>
      <c r="S11" s="70"/>
      <c r="T11" s="70"/>
    </row>
    <row r="12">
      <c r="A12" s="79">
        <v>0.0</v>
      </c>
      <c r="B12" s="98">
        <v>5089.79</v>
      </c>
      <c r="C12" s="98">
        <v>5089.79</v>
      </c>
      <c r="D12" s="68"/>
      <c r="E12" s="68"/>
      <c r="F12" s="68"/>
      <c r="G12" s="68"/>
      <c r="H12" s="68"/>
      <c r="I12" s="68"/>
      <c r="J12" s="68"/>
      <c r="K12" s="68"/>
      <c r="L12" s="68"/>
      <c r="M12" s="70"/>
      <c r="N12" s="70"/>
      <c r="O12" s="70"/>
      <c r="P12" s="70"/>
      <c r="Q12" s="70"/>
      <c r="R12" s="70"/>
      <c r="S12" s="70"/>
      <c r="T12" s="70"/>
    </row>
    <row r="13">
      <c r="A13" s="99">
        <v>1.0</v>
      </c>
      <c r="B13" s="98">
        <v>5598.77</v>
      </c>
      <c r="C13" s="98">
        <v>5853.26</v>
      </c>
      <c r="D13" s="68"/>
      <c r="E13" s="68"/>
      <c r="F13" s="68"/>
      <c r="G13" s="68"/>
      <c r="H13" s="68"/>
      <c r="I13" s="68"/>
      <c r="J13" s="68"/>
      <c r="K13" s="68"/>
      <c r="L13" s="68"/>
      <c r="M13" s="70"/>
      <c r="N13" s="70"/>
      <c r="O13" s="70"/>
      <c r="P13" s="70"/>
      <c r="Q13" s="70"/>
      <c r="R13" s="70"/>
      <c r="S13" s="70"/>
      <c r="T13" s="70"/>
    </row>
    <row r="14">
      <c r="A14" s="99">
        <v>2.0</v>
      </c>
      <c r="B14" s="98">
        <v>6158.65</v>
      </c>
      <c r="C14" s="98">
        <v>6731.25</v>
      </c>
      <c r="D14" s="68"/>
      <c r="E14" s="68"/>
      <c r="F14" s="68"/>
      <c r="G14" s="68"/>
      <c r="H14" s="68"/>
      <c r="I14" s="68"/>
      <c r="J14" s="68"/>
      <c r="K14" s="68"/>
      <c r="L14" s="68"/>
      <c r="M14" s="70"/>
      <c r="N14" s="70"/>
      <c r="O14" s="70"/>
      <c r="P14" s="70"/>
      <c r="Q14" s="70"/>
      <c r="R14" s="70"/>
      <c r="S14" s="70"/>
      <c r="T14" s="70"/>
    </row>
    <row r="15">
      <c r="A15" s="99">
        <v>3.0</v>
      </c>
      <c r="B15" s="98">
        <v>6774.51</v>
      </c>
      <c r="C15" s="98">
        <v>7740.93</v>
      </c>
      <c r="D15" s="68"/>
      <c r="E15" s="68"/>
      <c r="F15" s="68"/>
      <c r="G15" s="68"/>
      <c r="H15" s="68"/>
      <c r="I15" s="68"/>
      <c r="J15" s="68"/>
      <c r="K15" s="68"/>
      <c r="L15" s="68"/>
      <c r="M15" s="70"/>
      <c r="N15" s="70"/>
      <c r="O15" s="70"/>
      <c r="P15" s="70"/>
      <c r="Q15" s="70"/>
      <c r="R15" s="70"/>
      <c r="S15" s="70"/>
      <c r="T15" s="70"/>
    </row>
    <row r="16">
      <c r="A16" s="99">
        <v>4.0</v>
      </c>
      <c r="B16" s="98">
        <v>7451.96</v>
      </c>
      <c r="C16" s="98">
        <v>8902.07</v>
      </c>
      <c r="D16" s="68"/>
      <c r="E16" s="68"/>
      <c r="F16" s="68"/>
      <c r="G16" s="68"/>
      <c r="H16" s="68"/>
      <c r="I16" s="68"/>
      <c r="J16" s="68"/>
      <c r="K16" s="68"/>
      <c r="L16" s="68"/>
      <c r="M16" s="70"/>
      <c r="N16" s="70"/>
      <c r="O16" s="70"/>
      <c r="P16" s="70"/>
      <c r="Q16" s="70"/>
      <c r="R16" s="70"/>
      <c r="S16" s="70"/>
      <c r="T16" s="70"/>
    </row>
    <row r="17">
      <c r="A17" s="99">
        <v>5.0</v>
      </c>
      <c r="B17" s="98">
        <v>8197.16</v>
      </c>
      <c r="C17" s="98">
        <v>10237.39</v>
      </c>
      <c r="D17" s="68"/>
      <c r="E17" s="68"/>
      <c r="F17" s="68"/>
      <c r="G17" s="68"/>
      <c r="H17" s="68"/>
      <c r="I17" s="68"/>
      <c r="J17" s="68"/>
      <c r="K17" s="68"/>
      <c r="L17" s="68"/>
      <c r="M17" s="70"/>
      <c r="N17" s="70"/>
      <c r="O17" s="70"/>
      <c r="P17" s="70"/>
      <c r="Q17" s="70"/>
      <c r="R17" s="70"/>
      <c r="S17" s="70"/>
      <c r="T17" s="70"/>
    </row>
    <row r="18">
      <c r="A18" s="99">
        <v>6.0</v>
      </c>
      <c r="B18" s="98">
        <v>9016.87</v>
      </c>
      <c r="C18" s="98">
        <v>11772.99</v>
      </c>
      <c r="D18" s="68"/>
      <c r="E18" s="68"/>
      <c r="F18" s="68"/>
      <c r="G18" s="68"/>
      <c r="H18" s="68"/>
      <c r="I18" s="68"/>
      <c r="J18" s="68"/>
      <c r="K18" s="68"/>
      <c r="L18" s="68"/>
      <c r="M18" s="70"/>
      <c r="N18" s="70"/>
      <c r="O18" s="70"/>
      <c r="P18" s="70"/>
      <c r="Q18" s="70"/>
      <c r="R18" s="70"/>
      <c r="S18" s="70"/>
      <c r="T18" s="70"/>
    </row>
    <row r="19">
      <c r="A19" s="99">
        <v>7.0</v>
      </c>
      <c r="B19" s="98">
        <v>9918.56</v>
      </c>
      <c r="C19" s="98">
        <v>13538.94</v>
      </c>
      <c r="D19" s="68"/>
      <c r="E19" s="68"/>
      <c r="F19" s="68"/>
      <c r="G19" s="68"/>
      <c r="H19" s="68"/>
      <c r="I19" s="68"/>
      <c r="J19" s="68"/>
      <c r="K19" s="68"/>
      <c r="L19" s="68"/>
      <c r="M19" s="70"/>
      <c r="N19" s="70"/>
      <c r="O19" s="70"/>
      <c r="P19" s="70"/>
      <c r="Q19" s="70"/>
      <c r="R19" s="70"/>
      <c r="S19" s="70"/>
      <c r="T19" s="70"/>
    </row>
    <row r="20">
      <c r="A20" s="99">
        <v>8.0</v>
      </c>
      <c r="B20" s="98">
        <v>10910.42</v>
      </c>
      <c r="C20" s="98">
        <v>15569.78</v>
      </c>
      <c r="D20" s="68"/>
      <c r="E20" s="68"/>
      <c r="F20" s="68"/>
      <c r="G20" s="68"/>
      <c r="H20" s="68"/>
      <c r="I20" s="68"/>
      <c r="J20" s="68"/>
      <c r="K20" s="68"/>
      <c r="L20" s="68"/>
      <c r="M20" s="70"/>
      <c r="N20" s="70"/>
      <c r="O20" s="70"/>
      <c r="P20" s="70"/>
      <c r="Q20" s="70"/>
      <c r="R20" s="70"/>
      <c r="S20" s="70"/>
      <c r="T20" s="70"/>
    </row>
    <row r="21">
      <c r="A21" s="99">
        <v>9.0</v>
      </c>
      <c r="B21" s="98">
        <v>12001.46</v>
      </c>
      <c r="C21" s="98">
        <v>17905.25</v>
      </c>
      <c r="D21" s="68"/>
      <c r="E21" s="68"/>
      <c r="F21" s="68"/>
      <c r="G21" s="68"/>
      <c r="H21" s="68"/>
      <c r="I21" s="68"/>
      <c r="J21" s="68"/>
      <c r="K21" s="68"/>
      <c r="L21" s="68"/>
      <c r="M21" s="70"/>
      <c r="N21" s="70"/>
      <c r="O21" s="70"/>
      <c r="P21" s="70"/>
      <c r="Q21" s="70"/>
      <c r="R21" s="70"/>
      <c r="S21" s="70"/>
      <c r="T21" s="70"/>
    </row>
    <row r="22">
      <c r="A22" s="99">
        <v>10.0</v>
      </c>
      <c r="B22" s="98">
        <v>13201.6</v>
      </c>
      <c r="C22" s="98">
        <v>20591.04</v>
      </c>
      <c r="D22" s="68"/>
      <c r="E22" s="68"/>
      <c r="F22" s="68"/>
      <c r="G22" s="68"/>
      <c r="H22" s="68"/>
      <c r="I22" s="68"/>
      <c r="J22" s="68"/>
      <c r="K22" s="68"/>
      <c r="L22" s="68"/>
      <c r="M22" s="70"/>
      <c r="N22" s="70"/>
      <c r="O22" s="70"/>
      <c r="P22" s="70"/>
      <c r="Q22" s="70"/>
      <c r="R22" s="70"/>
      <c r="S22" s="70"/>
      <c r="T22" s="70"/>
    </row>
    <row r="23">
      <c r="A23" s="99">
        <v>11.0</v>
      </c>
      <c r="B23" s="98">
        <v>14521.76</v>
      </c>
      <c r="C23" s="98">
        <v>23679.7</v>
      </c>
      <c r="D23" s="68"/>
      <c r="E23" s="68"/>
      <c r="F23" s="68"/>
      <c r="G23" s="68"/>
      <c r="H23" s="68"/>
      <c r="I23" s="68"/>
      <c r="J23" s="68"/>
      <c r="K23" s="68"/>
      <c r="L23" s="68"/>
      <c r="M23" s="70"/>
      <c r="N23" s="70"/>
      <c r="O23" s="70"/>
      <c r="P23" s="70"/>
      <c r="Q23" s="70"/>
      <c r="R23" s="70"/>
      <c r="S23" s="70"/>
      <c r="T23" s="70"/>
    </row>
    <row r="24">
      <c r="A24" s="99">
        <v>12.0</v>
      </c>
      <c r="B24" s="98">
        <v>15973.94</v>
      </c>
      <c r="C24" s="98">
        <v>27231.65</v>
      </c>
      <c r="D24" s="68"/>
      <c r="E24" s="68"/>
      <c r="F24" s="68"/>
      <c r="G24" s="68"/>
      <c r="H24" s="68"/>
      <c r="I24" s="68"/>
      <c r="J24" s="68"/>
      <c r="K24" s="68"/>
      <c r="L24" s="68"/>
      <c r="M24" s="70"/>
      <c r="N24" s="70"/>
      <c r="O24" s="70"/>
      <c r="P24" s="70"/>
      <c r="Q24" s="70"/>
      <c r="R24" s="70"/>
      <c r="S24" s="70"/>
      <c r="T24" s="70"/>
    </row>
    <row r="25">
      <c r="A25" s="99">
        <v>13.0</v>
      </c>
      <c r="B25" s="98">
        <v>17571.34</v>
      </c>
      <c r="C25" s="98">
        <v>31316.4</v>
      </c>
      <c r="D25" s="68"/>
      <c r="E25" s="68"/>
      <c r="F25" s="68"/>
      <c r="G25" s="68"/>
      <c r="H25" s="68"/>
      <c r="I25" s="68"/>
      <c r="J25" s="68"/>
      <c r="K25" s="68"/>
      <c r="L25" s="68"/>
      <c r="M25" s="70"/>
      <c r="N25" s="70"/>
      <c r="O25" s="70"/>
      <c r="P25" s="70"/>
      <c r="Q25" s="70"/>
      <c r="R25" s="70"/>
      <c r="S25" s="70"/>
      <c r="T25" s="70"/>
    </row>
    <row r="26">
      <c r="A26" s="99">
        <v>14.0</v>
      </c>
      <c r="B26" s="98">
        <v>19328.47</v>
      </c>
      <c r="C26" s="98">
        <v>36013.86</v>
      </c>
      <c r="D26" s="68"/>
      <c r="E26" s="68"/>
      <c r="F26" s="68"/>
      <c r="G26" s="68"/>
      <c r="H26" s="68"/>
      <c r="I26" s="68"/>
      <c r="J26" s="68"/>
      <c r="K26" s="68"/>
      <c r="L26" s="68"/>
      <c r="M26" s="70"/>
      <c r="N26" s="70"/>
      <c r="O26" s="70"/>
      <c r="P26" s="70"/>
      <c r="Q26" s="70"/>
      <c r="R26" s="70"/>
      <c r="S26" s="70"/>
      <c r="T26" s="70"/>
    </row>
    <row r="27">
      <c r="A27" s="99">
        <v>15.0</v>
      </c>
      <c r="B27" s="98">
        <v>21261.32</v>
      </c>
      <c r="C27" s="98">
        <v>41415.93</v>
      </c>
      <c r="D27" s="68"/>
      <c r="E27" s="68"/>
      <c r="F27" s="68"/>
      <c r="G27" s="68"/>
      <c r="H27" s="68"/>
      <c r="I27" s="68"/>
      <c r="J27" s="68"/>
      <c r="K27" s="68"/>
      <c r="L27" s="68"/>
      <c r="M27" s="70"/>
      <c r="N27" s="70"/>
      <c r="O27" s="70"/>
      <c r="P27" s="70"/>
      <c r="Q27" s="70"/>
      <c r="R27" s="70"/>
      <c r="S27" s="70"/>
      <c r="T27" s="70"/>
    </row>
    <row r="28">
      <c r="A28" s="99">
        <v>16.0</v>
      </c>
      <c r="B28" s="98">
        <v>23387.45</v>
      </c>
      <c r="C28" s="98">
        <v>47628.33</v>
      </c>
      <c r="D28" s="68"/>
      <c r="E28" s="68"/>
      <c r="F28" s="68"/>
      <c r="G28" s="68"/>
      <c r="H28" s="68"/>
      <c r="I28" s="68"/>
      <c r="J28" s="68"/>
      <c r="K28" s="68"/>
      <c r="L28" s="68"/>
      <c r="M28" s="70"/>
      <c r="N28" s="70"/>
      <c r="O28" s="70"/>
      <c r="P28" s="70"/>
      <c r="Q28" s="70"/>
      <c r="R28" s="70"/>
      <c r="S28" s="70"/>
      <c r="T28" s="70"/>
    </row>
    <row r="29">
      <c r="A29" s="99">
        <v>17.0</v>
      </c>
      <c r="B29" s="98">
        <v>25726.19</v>
      </c>
      <c r="C29" s="98">
        <v>54772.57</v>
      </c>
      <c r="D29" s="68"/>
      <c r="E29" s="68"/>
      <c r="F29" s="68"/>
      <c r="G29" s="68"/>
      <c r="H29" s="68"/>
      <c r="I29" s="68"/>
      <c r="J29" s="68"/>
      <c r="K29" s="68"/>
      <c r="L29" s="68"/>
      <c r="M29" s="70"/>
      <c r="N29" s="70"/>
      <c r="O29" s="70"/>
      <c r="P29" s="70"/>
      <c r="Q29" s="70"/>
      <c r="R29" s="70"/>
      <c r="S29" s="70"/>
      <c r="T29" s="70"/>
    </row>
    <row r="30">
      <c r="A30" s="99">
        <v>18.0</v>
      </c>
      <c r="B30" s="98">
        <v>28298.81</v>
      </c>
      <c r="C30" s="98">
        <v>62988.46</v>
      </c>
      <c r="D30" s="68"/>
      <c r="E30" s="68"/>
      <c r="F30" s="68"/>
      <c r="G30" s="68"/>
      <c r="H30" s="68"/>
      <c r="I30" s="68"/>
      <c r="J30" s="68"/>
      <c r="K30" s="68"/>
      <c r="L30" s="68"/>
      <c r="M30" s="70"/>
      <c r="N30" s="70"/>
      <c r="O30" s="70"/>
      <c r="P30" s="70"/>
      <c r="Q30" s="70"/>
      <c r="R30" s="70"/>
      <c r="S30" s="70"/>
      <c r="T30" s="70"/>
    </row>
    <row r="31">
      <c r="A31" s="99">
        <v>19.0</v>
      </c>
      <c r="B31" s="98">
        <v>31128.69</v>
      </c>
      <c r="C31" s="98">
        <v>72436.73</v>
      </c>
      <c r="D31" s="68"/>
      <c r="E31" s="68"/>
      <c r="F31" s="68"/>
      <c r="G31" s="68"/>
      <c r="H31" s="68"/>
      <c r="I31" s="68"/>
      <c r="J31" s="68"/>
      <c r="K31" s="68"/>
      <c r="L31" s="68"/>
      <c r="M31" s="70"/>
      <c r="N31" s="70"/>
      <c r="O31" s="70"/>
      <c r="P31" s="70"/>
      <c r="Q31" s="70"/>
      <c r="R31" s="70"/>
      <c r="S31" s="70"/>
      <c r="T31" s="70"/>
    </row>
    <row r="32">
      <c r="A32" s="99">
        <v>20.0</v>
      </c>
      <c r="B32" s="98">
        <v>34241.56</v>
      </c>
      <c r="C32" s="98">
        <v>83302.24</v>
      </c>
      <c r="D32" s="68"/>
      <c r="E32" s="68"/>
      <c r="F32" s="68"/>
      <c r="G32" s="68"/>
      <c r="H32" s="68"/>
      <c r="I32" s="68"/>
      <c r="J32" s="68"/>
      <c r="K32" s="68"/>
      <c r="L32" s="68"/>
      <c r="M32" s="70"/>
      <c r="N32" s="70"/>
      <c r="O32" s="70"/>
      <c r="P32" s="70"/>
      <c r="Q32" s="70"/>
      <c r="R32" s="70"/>
      <c r="S32" s="70"/>
      <c r="T32" s="70"/>
    </row>
    <row r="33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70"/>
      <c r="N33" s="70"/>
      <c r="O33" s="70"/>
      <c r="P33" s="70"/>
      <c r="Q33" s="70"/>
      <c r="R33" s="70"/>
      <c r="S33" s="70"/>
      <c r="T33" s="70"/>
    </row>
    <row r="34">
      <c r="A34" s="79" t="s">
        <v>135</v>
      </c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70"/>
      <c r="N34" s="70"/>
      <c r="O34" s="70"/>
      <c r="P34" s="70"/>
      <c r="Q34" s="70"/>
      <c r="R34" s="70"/>
      <c r="S34" s="70"/>
      <c r="T34" s="70"/>
    </row>
    <row r="35">
      <c r="A35" s="79" t="s">
        <v>136</v>
      </c>
      <c r="B35" s="96">
        <f>SUM(Holdings!G2:G200)</f>
        <v>5233.29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70"/>
      <c r="N35" s="70"/>
      <c r="O35" s="70"/>
      <c r="P35" s="70"/>
      <c r="Q35" s="70"/>
      <c r="R35" s="70"/>
      <c r="S35" s="70"/>
      <c r="T35" s="70"/>
    </row>
    <row r="36">
      <c r="A36" s="79" t="s">
        <v>137</v>
      </c>
      <c r="B36" s="96">
        <f t="array" ref="B36">INDEX(Daily!B:B,COUNTA(Daily!A:A))</f>
        <v>571.73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70"/>
      <c r="N36" s="70"/>
      <c r="O36" s="70"/>
      <c r="P36" s="70"/>
      <c r="Q36" s="70"/>
      <c r="R36" s="70"/>
      <c r="S36" s="70"/>
      <c r="T36" s="70"/>
    </row>
    <row r="37">
      <c r="A37" s="68"/>
      <c r="B37" s="96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70"/>
      <c r="N37" s="70"/>
      <c r="O37" s="70"/>
      <c r="P37" s="70"/>
      <c r="Q37" s="70"/>
      <c r="R37" s="70"/>
      <c r="S37" s="70"/>
      <c r="T37" s="70"/>
    </row>
    <row r="38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70"/>
      <c r="N38" s="70"/>
      <c r="O38" s="70"/>
      <c r="P38" s="70"/>
      <c r="Q38" s="70"/>
      <c r="R38" s="70"/>
      <c r="S38" s="70"/>
      <c r="T38" s="70"/>
    </row>
    <row r="39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70"/>
      <c r="N39" s="70"/>
      <c r="O39" s="70"/>
      <c r="P39" s="70"/>
      <c r="Q39" s="70"/>
      <c r="R39" s="70"/>
      <c r="S39" s="70"/>
      <c r="T39" s="70"/>
    </row>
    <row r="40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70"/>
      <c r="N40" s="70"/>
      <c r="O40" s="70"/>
      <c r="P40" s="70"/>
      <c r="Q40" s="70"/>
      <c r="R40" s="70"/>
      <c r="S40" s="70"/>
      <c r="T40" s="70"/>
    </row>
    <row r="4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70"/>
      <c r="N41" s="70"/>
      <c r="O41" s="70"/>
      <c r="P41" s="70"/>
      <c r="Q41" s="70"/>
      <c r="R41" s="70"/>
      <c r="S41" s="70"/>
      <c r="T41" s="70"/>
    </row>
    <row r="42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70"/>
      <c r="N42" s="70"/>
      <c r="O42" s="70"/>
      <c r="P42" s="70"/>
      <c r="Q42" s="70"/>
      <c r="R42" s="70"/>
      <c r="S42" s="70"/>
      <c r="T42" s="70"/>
    </row>
    <row r="43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70"/>
      <c r="N43" s="70"/>
      <c r="O43" s="70"/>
      <c r="P43" s="70"/>
      <c r="Q43" s="70"/>
      <c r="R43" s="70"/>
      <c r="S43" s="70"/>
      <c r="T43" s="70"/>
    </row>
    <row r="44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70"/>
      <c r="N44" s="70"/>
      <c r="O44" s="70"/>
      <c r="P44" s="70"/>
      <c r="Q44" s="70"/>
      <c r="R44" s="70"/>
      <c r="S44" s="70"/>
      <c r="T44" s="70"/>
    </row>
    <row r="45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70"/>
      <c r="N45" s="70"/>
      <c r="O45" s="70"/>
      <c r="P45" s="70"/>
      <c r="Q45" s="70"/>
      <c r="R45" s="70"/>
      <c r="S45" s="70"/>
      <c r="T45" s="70"/>
    </row>
    <row r="46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70"/>
      <c r="N46" s="70"/>
      <c r="O46" s="70"/>
      <c r="P46" s="70"/>
      <c r="Q46" s="70"/>
      <c r="R46" s="70"/>
      <c r="S46" s="70"/>
      <c r="T46" s="70"/>
    </row>
    <row r="47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70"/>
      <c r="N47" s="70"/>
      <c r="O47" s="70"/>
      <c r="P47" s="70"/>
      <c r="Q47" s="70"/>
      <c r="R47" s="70"/>
      <c r="S47" s="70"/>
      <c r="T47" s="70"/>
    </row>
    <row r="48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70"/>
      <c r="N48" s="70"/>
      <c r="O48" s="70"/>
      <c r="P48" s="70"/>
      <c r="Q48" s="70"/>
      <c r="R48" s="70"/>
      <c r="S48" s="70"/>
      <c r="T48" s="70"/>
    </row>
    <row r="49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70"/>
      <c r="N49" s="70"/>
      <c r="O49" s="70"/>
      <c r="P49" s="70"/>
      <c r="Q49" s="70"/>
      <c r="R49" s="70"/>
      <c r="S49" s="70"/>
      <c r="T49" s="70"/>
    </row>
    <row r="50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70"/>
      <c r="N50" s="70"/>
      <c r="O50" s="70"/>
      <c r="P50" s="70"/>
      <c r="Q50" s="70"/>
      <c r="R50" s="70"/>
      <c r="S50" s="70"/>
      <c r="T50" s="70"/>
    </row>
    <row r="5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70"/>
      <c r="N51" s="70"/>
      <c r="O51" s="70"/>
      <c r="P51" s="70"/>
      <c r="Q51" s="70"/>
      <c r="R51" s="70"/>
      <c r="S51" s="70"/>
      <c r="T51" s="70"/>
    </row>
    <row r="52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70"/>
      <c r="N52" s="70"/>
      <c r="O52" s="70"/>
      <c r="P52" s="70"/>
      <c r="Q52" s="70"/>
      <c r="R52" s="70"/>
      <c r="S52" s="70"/>
      <c r="T52" s="70"/>
    </row>
    <row r="53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70"/>
      <c r="N53" s="70"/>
      <c r="O53" s="70"/>
      <c r="P53" s="70"/>
      <c r="Q53" s="70"/>
      <c r="R53" s="70"/>
      <c r="S53" s="70"/>
      <c r="T53" s="70"/>
    </row>
    <row r="54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70"/>
      <c r="N54" s="70"/>
      <c r="O54" s="70"/>
      <c r="P54" s="70"/>
      <c r="Q54" s="70"/>
      <c r="R54" s="70"/>
      <c r="S54" s="70"/>
      <c r="T54" s="70"/>
    </row>
    <row r="55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70"/>
      <c r="N55" s="70"/>
      <c r="O55" s="70"/>
      <c r="P55" s="70"/>
      <c r="Q55" s="70"/>
      <c r="R55" s="70"/>
      <c r="S55" s="70"/>
      <c r="T55" s="70"/>
    </row>
    <row r="56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70"/>
      <c r="N56" s="70"/>
      <c r="O56" s="70"/>
      <c r="P56" s="70"/>
      <c r="Q56" s="70"/>
      <c r="R56" s="70"/>
      <c r="S56" s="70"/>
      <c r="T56" s="70"/>
    </row>
    <row r="57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70"/>
      <c r="N57" s="70"/>
      <c r="O57" s="70"/>
      <c r="P57" s="70"/>
      <c r="Q57" s="70"/>
      <c r="R57" s="70"/>
      <c r="S57" s="70"/>
      <c r="T57" s="70"/>
    </row>
    <row r="58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70"/>
      <c r="N58" s="70"/>
      <c r="O58" s="70"/>
      <c r="P58" s="70"/>
      <c r="Q58" s="70"/>
      <c r="R58" s="70"/>
      <c r="S58" s="70"/>
      <c r="T58" s="70"/>
    </row>
    <row r="59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70"/>
      <c r="N59" s="70"/>
      <c r="O59" s="70"/>
      <c r="P59" s="70"/>
      <c r="Q59" s="70"/>
      <c r="R59" s="70"/>
      <c r="S59" s="70"/>
      <c r="T59" s="70"/>
    </row>
    <row r="60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70"/>
      <c r="N60" s="70"/>
      <c r="O60" s="70"/>
      <c r="P60" s="70"/>
      <c r="Q60" s="70"/>
      <c r="R60" s="70"/>
      <c r="S60" s="70"/>
      <c r="T60" s="70"/>
    </row>
    <row r="6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70"/>
      <c r="N61" s="70"/>
      <c r="O61" s="70"/>
      <c r="P61" s="70"/>
      <c r="Q61" s="70"/>
      <c r="R61" s="70"/>
      <c r="S61" s="70"/>
      <c r="T61" s="70"/>
    </row>
    <row r="62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70"/>
      <c r="N62" s="70"/>
      <c r="O62" s="70"/>
      <c r="P62" s="70"/>
      <c r="Q62" s="70"/>
      <c r="R62" s="70"/>
      <c r="S62" s="70"/>
      <c r="T62" s="70"/>
    </row>
    <row r="63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70"/>
      <c r="N63" s="70"/>
      <c r="O63" s="70"/>
      <c r="P63" s="70"/>
      <c r="Q63" s="70"/>
      <c r="R63" s="70"/>
      <c r="S63" s="70"/>
      <c r="T63" s="70"/>
    </row>
    <row r="64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70"/>
      <c r="N64" s="70"/>
      <c r="O64" s="70"/>
      <c r="P64" s="70"/>
      <c r="Q64" s="70"/>
      <c r="R64" s="70"/>
      <c r="S64" s="70"/>
      <c r="T64" s="70"/>
    </row>
    <row r="65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70"/>
      <c r="N65" s="70"/>
      <c r="O65" s="70"/>
      <c r="P65" s="70"/>
      <c r="Q65" s="70"/>
      <c r="R65" s="70"/>
      <c r="S65" s="70"/>
      <c r="T65" s="70"/>
    </row>
    <row r="66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70"/>
      <c r="N66" s="70"/>
      <c r="O66" s="70"/>
      <c r="P66" s="70"/>
      <c r="Q66" s="70"/>
      <c r="R66" s="70"/>
      <c r="S66" s="70"/>
      <c r="T66" s="70"/>
    </row>
    <row r="67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70"/>
      <c r="N67" s="70"/>
      <c r="O67" s="70"/>
      <c r="P67" s="70"/>
      <c r="Q67" s="70"/>
      <c r="R67" s="70"/>
      <c r="S67" s="70"/>
      <c r="T67" s="70"/>
    </row>
    <row r="68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70"/>
      <c r="N68" s="70"/>
      <c r="O68" s="70"/>
      <c r="P68" s="70"/>
      <c r="Q68" s="70"/>
      <c r="R68" s="70"/>
      <c r="S68" s="70"/>
      <c r="T68" s="70"/>
    </row>
    <row r="69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70"/>
      <c r="N69" s="70"/>
      <c r="O69" s="70"/>
      <c r="P69" s="70"/>
      <c r="Q69" s="70"/>
      <c r="R69" s="70"/>
      <c r="S69" s="70"/>
      <c r="T69" s="70"/>
    </row>
    <row r="70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70"/>
      <c r="N70" s="70"/>
      <c r="O70" s="70"/>
      <c r="P70" s="70"/>
      <c r="Q70" s="70"/>
      <c r="R70" s="70"/>
      <c r="S70" s="70"/>
      <c r="T70" s="70"/>
    </row>
    <row r="7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70"/>
      <c r="N71" s="70"/>
      <c r="O71" s="70"/>
      <c r="P71" s="70"/>
      <c r="Q71" s="70"/>
      <c r="R71" s="70"/>
      <c r="S71" s="70"/>
      <c r="T71" s="70"/>
    </row>
    <row r="72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70"/>
      <c r="N72" s="70"/>
      <c r="O72" s="70"/>
      <c r="P72" s="70"/>
      <c r="Q72" s="70"/>
      <c r="R72" s="70"/>
      <c r="S72" s="70"/>
      <c r="T72" s="70"/>
    </row>
    <row r="73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70"/>
      <c r="N73" s="70"/>
      <c r="O73" s="70"/>
      <c r="P73" s="70"/>
      <c r="Q73" s="70"/>
      <c r="R73" s="70"/>
      <c r="S73" s="70"/>
      <c r="T73" s="70"/>
    </row>
    <row r="74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70"/>
      <c r="N74" s="70"/>
      <c r="O74" s="70"/>
      <c r="P74" s="70"/>
      <c r="Q74" s="70"/>
      <c r="R74" s="70"/>
      <c r="S74" s="70"/>
      <c r="T74" s="70"/>
    </row>
    <row r="75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70"/>
      <c r="N75" s="70"/>
      <c r="O75" s="70"/>
      <c r="P75" s="70"/>
      <c r="Q75" s="70"/>
      <c r="R75" s="70"/>
      <c r="S75" s="70"/>
      <c r="T75" s="70"/>
    </row>
    <row r="76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70"/>
      <c r="N76" s="70"/>
      <c r="O76" s="70"/>
      <c r="P76" s="70"/>
      <c r="Q76" s="70"/>
      <c r="R76" s="70"/>
      <c r="S76" s="70"/>
      <c r="T76" s="70"/>
    </row>
    <row r="77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70"/>
      <c r="N77" s="70"/>
      <c r="O77" s="70"/>
      <c r="P77" s="70"/>
      <c r="Q77" s="70"/>
      <c r="R77" s="70"/>
      <c r="S77" s="70"/>
      <c r="T77" s="70"/>
    </row>
    <row r="78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70"/>
      <c r="N78" s="70"/>
      <c r="O78" s="70"/>
      <c r="P78" s="70"/>
      <c r="Q78" s="70"/>
      <c r="R78" s="70"/>
      <c r="S78" s="70"/>
      <c r="T78" s="70"/>
    </row>
    <row r="79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70"/>
      <c r="N79" s="70"/>
      <c r="O79" s="70"/>
      <c r="P79" s="70"/>
      <c r="Q79" s="70"/>
      <c r="R79" s="70"/>
      <c r="S79" s="70"/>
      <c r="T79" s="70"/>
    </row>
    <row r="80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70"/>
      <c r="N80" s="70"/>
      <c r="O80" s="70"/>
      <c r="P80" s="70"/>
      <c r="Q80" s="70"/>
      <c r="R80" s="70"/>
      <c r="S80" s="70"/>
      <c r="T80" s="70"/>
    </row>
    <row r="8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70"/>
      <c r="N81" s="70"/>
      <c r="O81" s="70"/>
      <c r="P81" s="70"/>
      <c r="Q81" s="70"/>
      <c r="R81" s="70"/>
      <c r="S81" s="70"/>
      <c r="T81" s="70"/>
    </row>
    <row r="82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70"/>
      <c r="N82" s="70"/>
      <c r="O82" s="70"/>
      <c r="P82" s="70"/>
      <c r="Q82" s="70"/>
      <c r="R82" s="70"/>
      <c r="S82" s="70"/>
      <c r="T82" s="70"/>
    </row>
    <row r="83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70"/>
      <c r="N83" s="70"/>
      <c r="O83" s="70"/>
      <c r="P83" s="70"/>
      <c r="Q83" s="70"/>
      <c r="R83" s="70"/>
      <c r="S83" s="70"/>
      <c r="T83" s="70"/>
    </row>
    <row r="84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70"/>
      <c r="N84" s="70"/>
      <c r="O84" s="70"/>
      <c r="P84" s="70"/>
      <c r="Q84" s="70"/>
      <c r="R84" s="70"/>
      <c r="S84" s="70"/>
      <c r="T84" s="70"/>
    </row>
    <row r="85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70"/>
      <c r="N85" s="70"/>
      <c r="O85" s="70"/>
      <c r="P85" s="70"/>
      <c r="Q85" s="70"/>
      <c r="R85" s="70"/>
      <c r="S85" s="70"/>
      <c r="T85" s="70"/>
    </row>
    <row r="86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70"/>
      <c r="N86" s="70"/>
      <c r="O86" s="70"/>
      <c r="P86" s="70"/>
      <c r="Q86" s="70"/>
      <c r="R86" s="70"/>
      <c r="S86" s="70"/>
      <c r="T86" s="70"/>
    </row>
    <row r="87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70"/>
      <c r="N87" s="70"/>
      <c r="O87" s="70"/>
      <c r="P87" s="70"/>
      <c r="Q87" s="70"/>
      <c r="R87" s="70"/>
      <c r="S87" s="70"/>
      <c r="T87" s="70"/>
    </row>
    <row r="88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70"/>
      <c r="N88" s="70"/>
      <c r="O88" s="70"/>
      <c r="P88" s="70"/>
      <c r="Q88" s="70"/>
      <c r="R88" s="70"/>
      <c r="S88" s="70"/>
      <c r="T88" s="70"/>
    </row>
    <row r="89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70"/>
      <c r="N89" s="70"/>
      <c r="O89" s="70"/>
      <c r="P89" s="70"/>
      <c r="Q89" s="70"/>
      <c r="R89" s="70"/>
      <c r="S89" s="70"/>
      <c r="T89" s="70"/>
    </row>
    <row r="90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70"/>
      <c r="N90" s="70"/>
      <c r="O90" s="70"/>
      <c r="P90" s="70"/>
      <c r="Q90" s="70"/>
      <c r="R90" s="70"/>
      <c r="S90" s="70"/>
      <c r="T90" s="70"/>
    </row>
    <row r="9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70"/>
      <c r="N91" s="70"/>
      <c r="O91" s="70"/>
      <c r="P91" s="70"/>
      <c r="Q91" s="70"/>
      <c r="R91" s="70"/>
      <c r="S91" s="70"/>
      <c r="T91" s="70"/>
    </row>
    <row r="92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70"/>
      <c r="N92" s="70"/>
      <c r="O92" s="70"/>
      <c r="P92" s="70"/>
      <c r="Q92" s="70"/>
      <c r="R92" s="70"/>
      <c r="S92" s="70"/>
      <c r="T92" s="70"/>
    </row>
    <row r="93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70"/>
      <c r="N93" s="70"/>
      <c r="O93" s="70"/>
      <c r="P93" s="70"/>
      <c r="Q93" s="70"/>
      <c r="R93" s="70"/>
      <c r="S93" s="70"/>
      <c r="T93" s="70"/>
    </row>
    <row r="94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70"/>
      <c r="N94" s="70"/>
      <c r="O94" s="70"/>
      <c r="P94" s="70"/>
      <c r="Q94" s="70"/>
      <c r="R94" s="70"/>
      <c r="S94" s="70"/>
      <c r="T94" s="70"/>
    </row>
    <row r="95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70"/>
      <c r="N95" s="70"/>
      <c r="O95" s="70"/>
      <c r="P95" s="70"/>
      <c r="Q95" s="70"/>
      <c r="R95" s="70"/>
      <c r="S95" s="70"/>
      <c r="T95" s="70"/>
    </row>
    <row r="96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70"/>
      <c r="N96" s="70"/>
      <c r="O96" s="70"/>
      <c r="P96" s="70"/>
      <c r="Q96" s="70"/>
      <c r="R96" s="70"/>
      <c r="S96" s="70"/>
      <c r="T96" s="70"/>
    </row>
    <row r="97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70"/>
      <c r="N97" s="70"/>
      <c r="O97" s="70"/>
      <c r="P97" s="70"/>
      <c r="Q97" s="70"/>
      <c r="R97" s="70"/>
      <c r="S97" s="70"/>
      <c r="T97" s="70"/>
    </row>
    <row r="98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70"/>
      <c r="N98" s="70"/>
      <c r="O98" s="70"/>
      <c r="P98" s="70"/>
      <c r="Q98" s="70"/>
      <c r="R98" s="70"/>
      <c r="S98" s="70"/>
      <c r="T98" s="70"/>
    </row>
    <row r="99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70"/>
      <c r="N99" s="70"/>
      <c r="O99" s="70"/>
      <c r="P99" s="70"/>
      <c r="Q99" s="70"/>
      <c r="R99" s="70"/>
      <c r="S99" s="70"/>
      <c r="T99" s="70"/>
    </row>
    <row r="100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70"/>
      <c r="N100" s="70"/>
      <c r="O100" s="70"/>
      <c r="P100" s="70"/>
      <c r="Q100" s="70"/>
      <c r="R100" s="70"/>
      <c r="S100" s="70"/>
      <c r="T100" s="70"/>
    </row>
    <row r="10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70"/>
      <c r="N101" s="70"/>
      <c r="O101" s="70"/>
      <c r="P101" s="70"/>
      <c r="Q101" s="70"/>
      <c r="R101" s="70"/>
      <c r="S101" s="70"/>
      <c r="T101" s="70"/>
    </row>
    <row r="102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70"/>
      <c r="N102" s="70"/>
      <c r="O102" s="70"/>
      <c r="P102" s="70"/>
      <c r="Q102" s="70"/>
      <c r="R102" s="70"/>
      <c r="S102" s="70"/>
      <c r="T102" s="70"/>
    </row>
    <row r="103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70"/>
      <c r="N103" s="70"/>
      <c r="O103" s="70"/>
      <c r="P103" s="70"/>
      <c r="Q103" s="70"/>
      <c r="R103" s="70"/>
      <c r="S103" s="70"/>
      <c r="T103" s="70"/>
    </row>
    <row r="104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70"/>
      <c r="N104" s="70"/>
      <c r="O104" s="70"/>
      <c r="P104" s="70"/>
      <c r="Q104" s="70"/>
      <c r="R104" s="70"/>
      <c r="S104" s="70"/>
      <c r="T104" s="70"/>
    </row>
    <row r="105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70"/>
      <c r="N105" s="70"/>
      <c r="O105" s="70"/>
      <c r="P105" s="70"/>
      <c r="Q105" s="70"/>
      <c r="R105" s="70"/>
      <c r="S105" s="70"/>
      <c r="T105" s="70"/>
    </row>
    <row r="106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70"/>
      <c r="N106" s="70"/>
      <c r="O106" s="70"/>
      <c r="P106" s="70"/>
      <c r="Q106" s="70"/>
      <c r="R106" s="70"/>
      <c r="S106" s="70"/>
      <c r="T106" s="70"/>
    </row>
    <row r="107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70"/>
      <c r="N107" s="70"/>
      <c r="O107" s="70"/>
      <c r="P107" s="70"/>
      <c r="Q107" s="70"/>
      <c r="R107" s="70"/>
      <c r="S107" s="70"/>
      <c r="T107" s="70"/>
    </row>
    <row r="108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70"/>
      <c r="N108" s="70"/>
      <c r="O108" s="70"/>
      <c r="P108" s="70"/>
      <c r="Q108" s="70"/>
      <c r="R108" s="70"/>
      <c r="S108" s="70"/>
      <c r="T108" s="70"/>
    </row>
    <row r="109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70"/>
      <c r="N109" s="70"/>
      <c r="O109" s="70"/>
      <c r="P109" s="70"/>
      <c r="Q109" s="70"/>
      <c r="R109" s="70"/>
      <c r="S109" s="70"/>
      <c r="T109" s="70"/>
    </row>
    <row r="110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70"/>
      <c r="N110" s="70"/>
      <c r="O110" s="70"/>
      <c r="P110" s="70"/>
      <c r="Q110" s="70"/>
      <c r="R110" s="70"/>
      <c r="S110" s="70"/>
      <c r="T110" s="70"/>
    </row>
    <row r="11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70"/>
      <c r="N111" s="70"/>
      <c r="O111" s="70"/>
      <c r="P111" s="70"/>
      <c r="Q111" s="70"/>
      <c r="R111" s="70"/>
      <c r="S111" s="70"/>
      <c r="T111" s="70"/>
    </row>
    <row r="112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70"/>
      <c r="N112" s="70"/>
      <c r="O112" s="70"/>
      <c r="P112" s="70"/>
      <c r="Q112" s="70"/>
      <c r="R112" s="70"/>
      <c r="S112" s="70"/>
      <c r="T112" s="70"/>
    </row>
    <row r="113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70"/>
      <c r="N113" s="70"/>
      <c r="O113" s="70"/>
      <c r="P113" s="70"/>
      <c r="Q113" s="70"/>
      <c r="R113" s="70"/>
      <c r="S113" s="70"/>
      <c r="T113" s="70"/>
    </row>
    <row r="114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70"/>
      <c r="N114" s="70"/>
      <c r="O114" s="70"/>
      <c r="P114" s="70"/>
      <c r="Q114" s="70"/>
      <c r="R114" s="70"/>
      <c r="S114" s="70"/>
      <c r="T114" s="70"/>
    </row>
    <row r="115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70"/>
      <c r="N115" s="70"/>
      <c r="O115" s="70"/>
      <c r="P115" s="70"/>
      <c r="Q115" s="70"/>
      <c r="R115" s="70"/>
      <c r="S115" s="70"/>
      <c r="T115" s="70"/>
    </row>
    <row r="116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70"/>
      <c r="N116" s="70"/>
      <c r="O116" s="70"/>
      <c r="P116" s="70"/>
      <c r="Q116" s="70"/>
      <c r="R116" s="70"/>
      <c r="S116" s="70"/>
      <c r="T116" s="70"/>
    </row>
    <row r="117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70"/>
      <c r="N117" s="70"/>
      <c r="O117" s="70"/>
      <c r="P117" s="70"/>
      <c r="Q117" s="70"/>
      <c r="R117" s="70"/>
      <c r="S117" s="70"/>
      <c r="T117" s="70"/>
    </row>
    <row r="118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70"/>
      <c r="N118" s="70"/>
      <c r="O118" s="70"/>
      <c r="P118" s="70"/>
      <c r="Q118" s="70"/>
      <c r="R118" s="70"/>
      <c r="S118" s="70"/>
      <c r="T118" s="70"/>
    </row>
    <row r="119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70"/>
      <c r="N119" s="70"/>
      <c r="O119" s="70"/>
      <c r="P119" s="70"/>
      <c r="Q119" s="70"/>
      <c r="R119" s="70"/>
      <c r="S119" s="70"/>
      <c r="T119" s="70"/>
    </row>
    <row r="120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70"/>
      <c r="N120" s="70"/>
      <c r="O120" s="70"/>
      <c r="P120" s="70"/>
      <c r="Q120" s="70"/>
      <c r="R120" s="70"/>
      <c r="S120" s="70"/>
      <c r="T120" s="70"/>
    </row>
    <row r="12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70"/>
      <c r="N121" s="70"/>
      <c r="O121" s="70"/>
      <c r="P121" s="70"/>
      <c r="Q121" s="70"/>
      <c r="R121" s="70"/>
      <c r="S121" s="70"/>
      <c r="T121" s="70"/>
    </row>
    <row r="122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70"/>
      <c r="N122" s="70"/>
      <c r="O122" s="70"/>
      <c r="P122" s="70"/>
      <c r="Q122" s="70"/>
      <c r="R122" s="70"/>
      <c r="S122" s="70"/>
      <c r="T122" s="70"/>
    </row>
    <row r="123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70"/>
      <c r="N123" s="70"/>
      <c r="O123" s="70"/>
      <c r="P123" s="70"/>
      <c r="Q123" s="70"/>
      <c r="R123" s="70"/>
      <c r="S123" s="70"/>
      <c r="T123" s="70"/>
    </row>
    <row r="124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70"/>
      <c r="N124" s="70"/>
      <c r="O124" s="70"/>
      <c r="P124" s="70"/>
      <c r="Q124" s="70"/>
      <c r="R124" s="70"/>
      <c r="S124" s="70"/>
      <c r="T124" s="70"/>
    </row>
    <row r="125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70"/>
      <c r="N125" s="70"/>
      <c r="O125" s="70"/>
      <c r="P125" s="70"/>
      <c r="Q125" s="70"/>
      <c r="R125" s="70"/>
      <c r="S125" s="70"/>
      <c r="T125" s="70"/>
    </row>
    <row r="126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70"/>
      <c r="N126" s="70"/>
      <c r="O126" s="70"/>
      <c r="P126" s="70"/>
      <c r="Q126" s="70"/>
      <c r="R126" s="70"/>
      <c r="S126" s="70"/>
      <c r="T126" s="70"/>
    </row>
    <row r="127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70"/>
      <c r="N127" s="70"/>
      <c r="O127" s="70"/>
      <c r="P127" s="70"/>
      <c r="Q127" s="70"/>
      <c r="R127" s="70"/>
      <c r="S127" s="70"/>
      <c r="T127" s="70"/>
    </row>
    <row r="128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70"/>
      <c r="N128" s="70"/>
      <c r="O128" s="70"/>
      <c r="P128" s="70"/>
      <c r="Q128" s="70"/>
      <c r="R128" s="70"/>
      <c r="S128" s="70"/>
      <c r="T128" s="70"/>
    </row>
    <row r="129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70"/>
      <c r="N129" s="70"/>
      <c r="O129" s="70"/>
      <c r="P129" s="70"/>
      <c r="Q129" s="70"/>
      <c r="R129" s="70"/>
      <c r="S129" s="70"/>
      <c r="T129" s="70"/>
    </row>
    <row r="130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70"/>
      <c r="N130" s="70"/>
      <c r="O130" s="70"/>
      <c r="P130" s="70"/>
      <c r="Q130" s="70"/>
      <c r="R130" s="70"/>
      <c r="S130" s="70"/>
      <c r="T130" s="70"/>
    </row>
    <row r="13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70"/>
      <c r="N131" s="70"/>
      <c r="O131" s="70"/>
      <c r="P131" s="70"/>
      <c r="Q131" s="70"/>
      <c r="R131" s="70"/>
      <c r="S131" s="70"/>
      <c r="T131" s="70"/>
    </row>
    <row r="132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70"/>
      <c r="N132" s="70"/>
      <c r="O132" s="70"/>
      <c r="P132" s="70"/>
      <c r="Q132" s="70"/>
      <c r="R132" s="70"/>
      <c r="S132" s="70"/>
      <c r="T132" s="70"/>
    </row>
    <row r="133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70"/>
      <c r="N133" s="70"/>
      <c r="O133" s="70"/>
      <c r="P133" s="70"/>
      <c r="Q133" s="70"/>
      <c r="R133" s="70"/>
      <c r="S133" s="70"/>
      <c r="T133" s="70"/>
    </row>
    <row r="134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70"/>
      <c r="N134" s="70"/>
      <c r="O134" s="70"/>
      <c r="P134" s="70"/>
      <c r="Q134" s="70"/>
      <c r="R134" s="70"/>
      <c r="S134" s="70"/>
      <c r="T134" s="70"/>
    </row>
    <row r="135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70"/>
      <c r="N135" s="70"/>
      <c r="O135" s="70"/>
      <c r="P135" s="70"/>
      <c r="Q135" s="70"/>
      <c r="R135" s="70"/>
      <c r="S135" s="70"/>
      <c r="T135" s="70"/>
    </row>
    <row r="136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70"/>
      <c r="N136" s="70"/>
      <c r="O136" s="70"/>
      <c r="P136" s="70"/>
      <c r="Q136" s="70"/>
      <c r="R136" s="70"/>
      <c r="S136" s="70"/>
      <c r="T136" s="70"/>
    </row>
    <row r="137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70"/>
      <c r="N137" s="70"/>
      <c r="O137" s="70"/>
      <c r="P137" s="70"/>
      <c r="Q137" s="70"/>
      <c r="R137" s="70"/>
      <c r="S137" s="70"/>
      <c r="T137" s="70"/>
    </row>
    <row r="138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70"/>
      <c r="N138" s="70"/>
      <c r="O138" s="70"/>
      <c r="P138" s="70"/>
      <c r="Q138" s="70"/>
      <c r="R138" s="70"/>
      <c r="S138" s="70"/>
      <c r="T138" s="70"/>
    </row>
    <row r="139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70"/>
      <c r="N139" s="70"/>
      <c r="O139" s="70"/>
      <c r="P139" s="70"/>
      <c r="Q139" s="70"/>
      <c r="R139" s="70"/>
      <c r="S139" s="70"/>
      <c r="T139" s="70"/>
    </row>
    <row r="140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70"/>
      <c r="N140" s="70"/>
      <c r="O140" s="70"/>
      <c r="P140" s="70"/>
      <c r="Q140" s="70"/>
      <c r="R140" s="70"/>
      <c r="S140" s="70"/>
      <c r="T140" s="70"/>
    </row>
    <row r="14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70"/>
      <c r="N141" s="70"/>
      <c r="O141" s="70"/>
      <c r="P141" s="70"/>
      <c r="Q141" s="70"/>
      <c r="R141" s="70"/>
      <c r="S141" s="70"/>
      <c r="T141" s="70"/>
    </row>
    <row r="142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70"/>
      <c r="N142" s="70"/>
      <c r="O142" s="70"/>
      <c r="P142" s="70"/>
      <c r="Q142" s="70"/>
      <c r="R142" s="70"/>
      <c r="S142" s="70"/>
      <c r="T142" s="70"/>
    </row>
    <row r="143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70"/>
      <c r="N143" s="70"/>
      <c r="O143" s="70"/>
      <c r="P143" s="70"/>
      <c r="Q143" s="70"/>
      <c r="R143" s="70"/>
      <c r="S143" s="70"/>
      <c r="T143" s="70"/>
    </row>
    <row r="144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70"/>
      <c r="N144" s="70"/>
      <c r="O144" s="70"/>
      <c r="P144" s="70"/>
      <c r="Q144" s="70"/>
      <c r="R144" s="70"/>
      <c r="S144" s="70"/>
      <c r="T144" s="70"/>
    </row>
    <row r="145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70"/>
      <c r="N145" s="70"/>
      <c r="O145" s="70"/>
      <c r="P145" s="70"/>
      <c r="Q145" s="70"/>
      <c r="R145" s="70"/>
      <c r="S145" s="70"/>
      <c r="T145" s="70"/>
    </row>
    <row r="146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70"/>
      <c r="N146" s="70"/>
      <c r="O146" s="70"/>
      <c r="P146" s="70"/>
      <c r="Q146" s="70"/>
      <c r="R146" s="70"/>
      <c r="S146" s="70"/>
      <c r="T146" s="70"/>
    </row>
    <row r="147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70"/>
      <c r="N147" s="70"/>
      <c r="O147" s="70"/>
      <c r="P147" s="70"/>
      <c r="Q147" s="70"/>
      <c r="R147" s="70"/>
      <c r="S147" s="70"/>
      <c r="T147" s="70"/>
    </row>
    <row r="148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70"/>
      <c r="N148" s="70"/>
      <c r="O148" s="70"/>
      <c r="P148" s="70"/>
      <c r="Q148" s="70"/>
      <c r="R148" s="70"/>
      <c r="S148" s="70"/>
      <c r="T148" s="70"/>
    </row>
    <row r="149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70"/>
      <c r="N149" s="70"/>
      <c r="O149" s="70"/>
      <c r="P149" s="70"/>
      <c r="Q149" s="70"/>
      <c r="R149" s="70"/>
      <c r="S149" s="70"/>
      <c r="T149" s="70"/>
    </row>
    <row r="150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70"/>
      <c r="N150" s="70"/>
      <c r="O150" s="70"/>
      <c r="P150" s="70"/>
      <c r="Q150" s="70"/>
      <c r="R150" s="70"/>
      <c r="S150" s="70"/>
      <c r="T150" s="70"/>
    </row>
    <row r="15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70"/>
      <c r="N151" s="70"/>
      <c r="O151" s="70"/>
      <c r="P151" s="70"/>
      <c r="Q151" s="70"/>
      <c r="R151" s="70"/>
      <c r="S151" s="70"/>
      <c r="T151" s="70"/>
    </row>
    <row r="152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70"/>
      <c r="N152" s="70"/>
      <c r="O152" s="70"/>
      <c r="P152" s="70"/>
      <c r="Q152" s="70"/>
      <c r="R152" s="70"/>
      <c r="S152" s="70"/>
      <c r="T152" s="70"/>
    </row>
    <row r="153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70"/>
      <c r="N153" s="70"/>
      <c r="O153" s="70"/>
      <c r="P153" s="70"/>
      <c r="Q153" s="70"/>
      <c r="R153" s="70"/>
      <c r="S153" s="70"/>
      <c r="T153" s="70"/>
    </row>
    <row r="154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70"/>
      <c r="N154" s="70"/>
      <c r="O154" s="70"/>
      <c r="P154" s="70"/>
      <c r="Q154" s="70"/>
      <c r="R154" s="70"/>
      <c r="S154" s="70"/>
      <c r="T154" s="70"/>
    </row>
    <row r="155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70"/>
      <c r="N155" s="70"/>
      <c r="O155" s="70"/>
      <c r="P155" s="70"/>
      <c r="Q155" s="70"/>
      <c r="R155" s="70"/>
      <c r="S155" s="70"/>
      <c r="T155" s="70"/>
    </row>
    <row r="156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70"/>
      <c r="N156" s="70"/>
      <c r="O156" s="70"/>
      <c r="P156" s="70"/>
      <c r="Q156" s="70"/>
      <c r="R156" s="70"/>
      <c r="S156" s="70"/>
      <c r="T156" s="70"/>
    </row>
    <row r="157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70"/>
      <c r="N157" s="70"/>
      <c r="O157" s="70"/>
      <c r="P157" s="70"/>
      <c r="Q157" s="70"/>
      <c r="R157" s="70"/>
      <c r="S157" s="70"/>
      <c r="T157" s="70"/>
    </row>
    <row r="158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70"/>
      <c r="N158" s="70"/>
      <c r="O158" s="70"/>
      <c r="P158" s="70"/>
      <c r="Q158" s="70"/>
      <c r="R158" s="70"/>
      <c r="S158" s="70"/>
      <c r="T158" s="70"/>
    </row>
    <row r="159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70"/>
      <c r="N159" s="70"/>
      <c r="O159" s="70"/>
      <c r="P159" s="70"/>
      <c r="Q159" s="70"/>
      <c r="R159" s="70"/>
      <c r="S159" s="70"/>
      <c r="T159" s="70"/>
    </row>
    <row r="160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70"/>
      <c r="N160" s="70"/>
      <c r="O160" s="70"/>
      <c r="P160" s="70"/>
      <c r="Q160" s="70"/>
      <c r="R160" s="70"/>
      <c r="S160" s="70"/>
      <c r="T160" s="70"/>
    </row>
    <row r="16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70"/>
      <c r="N161" s="70"/>
      <c r="O161" s="70"/>
      <c r="P161" s="70"/>
      <c r="Q161" s="70"/>
      <c r="R161" s="70"/>
      <c r="S161" s="70"/>
      <c r="T161" s="70"/>
    </row>
    <row r="162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70"/>
      <c r="N162" s="70"/>
      <c r="O162" s="70"/>
      <c r="P162" s="70"/>
      <c r="Q162" s="70"/>
      <c r="R162" s="70"/>
      <c r="S162" s="70"/>
      <c r="T162" s="70"/>
    </row>
    <row r="163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70"/>
      <c r="N163" s="70"/>
      <c r="O163" s="70"/>
      <c r="P163" s="70"/>
      <c r="Q163" s="70"/>
      <c r="R163" s="70"/>
      <c r="S163" s="70"/>
      <c r="T163" s="70"/>
    </row>
    <row r="164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70"/>
      <c r="N164" s="70"/>
      <c r="O164" s="70"/>
      <c r="P164" s="70"/>
      <c r="Q164" s="70"/>
      <c r="R164" s="70"/>
      <c r="S164" s="70"/>
      <c r="T164" s="70"/>
    </row>
    <row r="16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70"/>
      <c r="N165" s="70"/>
      <c r="O165" s="70"/>
      <c r="P165" s="70"/>
      <c r="Q165" s="70"/>
      <c r="R165" s="70"/>
      <c r="S165" s="70"/>
      <c r="T165" s="70"/>
    </row>
    <row r="166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70"/>
      <c r="N166" s="70"/>
      <c r="O166" s="70"/>
      <c r="P166" s="70"/>
      <c r="Q166" s="70"/>
      <c r="R166" s="70"/>
      <c r="S166" s="70"/>
      <c r="T166" s="70"/>
    </row>
    <row r="167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70"/>
      <c r="N167" s="70"/>
      <c r="O167" s="70"/>
      <c r="P167" s="70"/>
      <c r="Q167" s="70"/>
      <c r="R167" s="70"/>
      <c r="S167" s="70"/>
      <c r="T167" s="70"/>
    </row>
    <row r="168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70"/>
      <c r="N168" s="70"/>
      <c r="O168" s="70"/>
      <c r="P168" s="70"/>
      <c r="Q168" s="70"/>
      <c r="R168" s="70"/>
      <c r="S168" s="70"/>
      <c r="T168" s="70"/>
    </row>
    <row r="169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70"/>
      <c r="N169" s="70"/>
      <c r="O169" s="70"/>
      <c r="P169" s="70"/>
      <c r="Q169" s="70"/>
      <c r="R169" s="70"/>
      <c r="S169" s="70"/>
      <c r="T169" s="70"/>
    </row>
    <row r="170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70"/>
      <c r="N170" s="70"/>
      <c r="O170" s="70"/>
      <c r="P170" s="70"/>
      <c r="Q170" s="70"/>
      <c r="R170" s="70"/>
      <c r="S170" s="70"/>
      <c r="T170" s="70"/>
    </row>
    <row r="17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70"/>
      <c r="N171" s="70"/>
      <c r="O171" s="70"/>
      <c r="P171" s="70"/>
      <c r="Q171" s="70"/>
      <c r="R171" s="70"/>
      <c r="S171" s="70"/>
      <c r="T171" s="70"/>
    </row>
    <row r="172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70"/>
      <c r="N172" s="70"/>
      <c r="O172" s="70"/>
      <c r="P172" s="70"/>
      <c r="Q172" s="70"/>
      <c r="R172" s="70"/>
      <c r="S172" s="70"/>
      <c r="T172" s="70"/>
    </row>
    <row r="173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70"/>
      <c r="N173" s="70"/>
      <c r="O173" s="70"/>
      <c r="P173" s="70"/>
      <c r="Q173" s="70"/>
      <c r="R173" s="70"/>
      <c r="S173" s="70"/>
      <c r="T173" s="70"/>
    </row>
    <row r="174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70"/>
      <c r="N174" s="70"/>
      <c r="O174" s="70"/>
      <c r="P174" s="70"/>
      <c r="Q174" s="70"/>
      <c r="R174" s="70"/>
      <c r="S174" s="70"/>
      <c r="T174" s="70"/>
    </row>
    <row r="17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70"/>
      <c r="N175" s="70"/>
      <c r="O175" s="70"/>
      <c r="P175" s="70"/>
      <c r="Q175" s="70"/>
      <c r="R175" s="70"/>
      <c r="S175" s="70"/>
      <c r="T175" s="70"/>
    </row>
    <row r="176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70"/>
      <c r="N176" s="70"/>
      <c r="O176" s="70"/>
      <c r="P176" s="70"/>
      <c r="Q176" s="70"/>
      <c r="R176" s="70"/>
      <c r="S176" s="70"/>
      <c r="T176" s="70"/>
    </row>
    <row r="177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70"/>
      <c r="N177" s="70"/>
      <c r="O177" s="70"/>
      <c r="P177" s="70"/>
      <c r="Q177" s="70"/>
      <c r="R177" s="70"/>
      <c r="S177" s="70"/>
      <c r="T177" s="70"/>
    </row>
    <row r="178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70"/>
      <c r="N178" s="70"/>
      <c r="O178" s="70"/>
      <c r="P178" s="70"/>
      <c r="Q178" s="70"/>
      <c r="R178" s="70"/>
      <c r="S178" s="70"/>
      <c r="T178" s="70"/>
    </row>
    <row r="179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70"/>
      <c r="N179" s="70"/>
      <c r="O179" s="70"/>
      <c r="P179" s="70"/>
      <c r="Q179" s="70"/>
      <c r="R179" s="70"/>
      <c r="S179" s="70"/>
      <c r="T179" s="70"/>
    </row>
    <row r="180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70"/>
      <c r="N180" s="70"/>
      <c r="O180" s="70"/>
      <c r="P180" s="70"/>
      <c r="Q180" s="70"/>
      <c r="R180" s="70"/>
      <c r="S180" s="70"/>
      <c r="T180" s="70"/>
    </row>
    <row r="18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70"/>
      <c r="N181" s="70"/>
      <c r="O181" s="70"/>
      <c r="P181" s="70"/>
      <c r="Q181" s="70"/>
      <c r="R181" s="70"/>
      <c r="S181" s="70"/>
      <c r="T181" s="70"/>
    </row>
    <row r="182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70"/>
      <c r="N182" s="70"/>
      <c r="O182" s="70"/>
      <c r="P182" s="70"/>
      <c r="Q182" s="70"/>
      <c r="R182" s="70"/>
      <c r="S182" s="70"/>
      <c r="T182" s="70"/>
    </row>
    <row r="183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70"/>
      <c r="N183" s="70"/>
      <c r="O183" s="70"/>
      <c r="P183" s="70"/>
      <c r="Q183" s="70"/>
      <c r="R183" s="70"/>
      <c r="S183" s="70"/>
      <c r="T183" s="70"/>
    </row>
    <row r="184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70"/>
      <c r="N184" s="70"/>
      <c r="O184" s="70"/>
      <c r="P184" s="70"/>
      <c r="Q184" s="70"/>
      <c r="R184" s="70"/>
      <c r="S184" s="70"/>
      <c r="T184" s="70"/>
    </row>
    <row r="18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70"/>
      <c r="N185" s="70"/>
      <c r="O185" s="70"/>
      <c r="P185" s="70"/>
      <c r="Q185" s="70"/>
      <c r="R185" s="70"/>
      <c r="S185" s="70"/>
      <c r="T185" s="70"/>
    </row>
    <row r="186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70"/>
      <c r="N186" s="70"/>
      <c r="O186" s="70"/>
      <c r="P186" s="70"/>
      <c r="Q186" s="70"/>
      <c r="R186" s="70"/>
      <c r="S186" s="70"/>
      <c r="T186" s="70"/>
    </row>
    <row r="187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70"/>
      <c r="N187" s="70"/>
      <c r="O187" s="70"/>
      <c r="P187" s="70"/>
      <c r="Q187" s="70"/>
      <c r="R187" s="70"/>
      <c r="S187" s="70"/>
      <c r="T187" s="70"/>
    </row>
    <row r="188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70"/>
      <c r="N188" s="70"/>
      <c r="O188" s="70"/>
      <c r="P188" s="70"/>
      <c r="Q188" s="70"/>
      <c r="R188" s="70"/>
      <c r="S188" s="70"/>
      <c r="T188" s="70"/>
    </row>
    <row r="189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70"/>
      <c r="N189" s="70"/>
      <c r="O189" s="70"/>
      <c r="P189" s="70"/>
      <c r="Q189" s="70"/>
      <c r="R189" s="70"/>
      <c r="S189" s="70"/>
      <c r="T189" s="70"/>
    </row>
    <row r="190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70"/>
      <c r="N190" s="70"/>
      <c r="O190" s="70"/>
      <c r="P190" s="70"/>
      <c r="Q190" s="70"/>
      <c r="R190" s="70"/>
      <c r="S190" s="70"/>
      <c r="T190" s="70"/>
    </row>
    <row r="19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70"/>
      <c r="N191" s="70"/>
      <c r="O191" s="70"/>
      <c r="P191" s="70"/>
      <c r="Q191" s="70"/>
      <c r="R191" s="70"/>
      <c r="S191" s="70"/>
      <c r="T191" s="70"/>
    </row>
    <row r="192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70"/>
      <c r="N192" s="70"/>
      <c r="O192" s="70"/>
      <c r="P192" s="70"/>
      <c r="Q192" s="70"/>
      <c r="R192" s="70"/>
      <c r="S192" s="70"/>
      <c r="T192" s="70"/>
    </row>
    <row r="193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70"/>
      <c r="N193" s="70"/>
      <c r="O193" s="70"/>
      <c r="P193" s="70"/>
      <c r="Q193" s="70"/>
      <c r="R193" s="70"/>
      <c r="S193" s="70"/>
      <c r="T193" s="70"/>
    </row>
    <row r="194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70"/>
      <c r="N194" s="70"/>
      <c r="O194" s="70"/>
      <c r="P194" s="70"/>
      <c r="Q194" s="70"/>
      <c r="R194" s="70"/>
      <c r="S194" s="70"/>
      <c r="T194" s="70"/>
    </row>
    <row r="19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70"/>
      <c r="N195" s="70"/>
      <c r="O195" s="70"/>
      <c r="P195" s="70"/>
      <c r="Q195" s="70"/>
      <c r="R195" s="70"/>
      <c r="S195" s="70"/>
      <c r="T195" s="70"/>
    </row>
    <row r="196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70"/>
      <c r="N196" s="70"/>
      <c r="O196" s="70"/>
      <c r="P196" s="70"/>
      <c r="Q196" s="70"/>
      <c r="R196" s="70"/>
      <c r="S196" s="70"/>
      <c r="T196" s="70"/>
    </row>
    <row r="197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70"/>
      <c r="N197" s="70"/>
      <c r="O197" s="70"/>
      <c r="P197" s="70"/>
      <c r="Q197" s="70"/>
      <c r="R197" s="70"/>
      <c r="S197" s="70"/>
      <c r="T197" s="70"/>
    </row>
    <row r="198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70"/>
      <c r="N198" s="70"/>
      <c r="O198" s="70"/>
      <c r="P198" s="70"/>
      <c r="Q198" s="70"/>
      <c r="R198" s="70"/>
      <c r="S198" s="70"/>
      <c r="T198" s="70"/>
    </row>
    <row r="199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70"/>
      <c r="N199" s="70"/>
      <c r="O199" s="70"/>
      <c r="P199" s="70"/>
      <c r="Q199" s="70"/>
      <c r="R199" s="70"/>
      <c r="S199" s="70"/>
      <c r="T199" s="70"/>
    </row>
    <row r="200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70"/>
      <c r="N200" s="70"/>
      <c r="O200" s="70"/>
      <c r="P200" s="70"/>
      <c r="Q200" s="70"/>
      <c r="R200" s="70"/>
      <c r="S200" s="70"/>
      <c r="T200" s="70"/>
    </row>
    <row r="20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70"/>
      <c r="N201" s="70"/>
      <c r="O201" s="70"/>
      <c r="P201" s="70"/>
      <c r="Q201" s="70"/>
      <c r="R201" s="70"/>
      <c r="S201" s="70"/>
      <c r="T201" s="70"/>
    </row>
    <row r="202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70"/>
      <c r="N202" s="70"/>
      <c r="O202" s="70"/>
      <c r="P202" s="70"/>
      <c r="Q202" s="70"/>
      <c r="R202" s="70"/>
      <c r="S202" s="70"/>
      <c r="T202" s="70"/>
    </row>
    <row r="203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70"/>
      <c r="N203" s="70"/>
      <c r="O203" s="70"/>
      <c r="P203" s="70"/>
      <c r="Q203" s="70"/>
      <c r="R203" s="70"/>
      <c r="S203" s="70"/>
      <c r="T203" s="70"/>
    </row>
    <row r="204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70"/>
      <c r="N204" s="70"/>
      <c r="O204" s="70"/>
      <c r="P204" s="70"/>
      <c r="Q204" s="70"/>
      <c r="R204" s="70"/>
      <c r="S204" s="70"/>
      <c r="T204" s="70"/>
    </row>
    <row r="20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70"/>
      <c r="N205" s="70"/>
      <c r="O205" s="70"/>
      <c r="P205" s="70"/>
      <c r="Q205" s="70"/>
      <c r="R205" s="70"/>
      <c r="S205" s="70"/>
      <c r="T205" s="70"/>
    </row>
    <row r="206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70"/>
      <c r="N206" s="70"/>
      <c r="O206" s="70"/>
      <c r="P206" s="70"/>
      <c r="Q206" s="70"/>
      <c r="R206" s="70"/>
      <c r="S206" s="70"/>
      <c r="T206" s="70"/>
    </row>
    <row r="207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70"/>
      <c r="N207" s="70"/>
      <c r="O207" s="70"/>
      <c r="P207" s="70"/>
      <c r="Q207" s="70"/>
      <c r="R207" s="70"/>
      <c r="S207" s="70"/>
      <c r="T207" s="70"/>
    </row>
    <row r="208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70"/>
      <c r="N208" s="70"/>
      <c r="O208" s="70"/>
      <c r="P208" s="70"/>
      <c r="Q208" s="70"/>
      <c r="R208" s="70"/>
      <c r="S208" s="70"/>
      <c r="T208" s="70"/>
    </row>
    <row r="209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70"/>
      <c r="N209" s="70"/>
      <c r="O209" s="70"/>
      <c r="P209" s="70"/>
      <c r="Q209" s="70"/>
      <c r="R209" s="70"/>
      <c r="S209" s="70"/>
      <c r="T209" s="70"/>
    </row>
    <row r="210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70"/>
      <c r="N210" s="70"/>
      <c r="O210" s="70"/>
      <c r="P210" s="70"/>
      <c r="Q210" s="70"/>
      <c r="R210" s="70"/>
      <c r="S210" s="70"/>
      <c r="T210" s="70"/>
    </row>
    <row r="21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70"/>
      <c r="N211" s="70"/>
      <c r="O211" s="70"/>
      <c r="P211" s="70"/>
      <c r="Q211" s="70"/>
      <c r="R211" s="70"/>
      <c r="S211" s="70"/>
      <c r="T211" s="70"/>
    </row>
    <row r="212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70"/>
      <c r="N212" s="70"/>
      <c r="O212" s="70"/>
      <c r="P212" s="70"/>
      <c r="Q212" s="70"/>
      <c r="R212" s="70"/>
      <c r="S212" s="70"/>
      <c r="T212" s="70"/>
    </row>
    <row r="213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70"/>
      <c r="N213" s="70"/>
      <c r="O213" s="70"/>
      <c r="P213" s="70"/>
      <c r="Q213" s="70"/>
      <c r="R213" s="70"/>
      <c r="S213" s="70"/>
      <c r="T213" s="70"/>
    </row>
    <row r="214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70"/>
      <c r="N214" s="70"/>
      <c r="O214" s="70"/>
      <c r="P214" s="70"/>
      <c r="Q214" s="70"/>
      <c r="R214" s="70"/>
      <c r="S214" s="70"/>
      <c r="T214" s="70"/>
    </row>
    <row r="2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70"/>
      <c r="N215" s="70"/>
      <c r="O215" s="70"/>
      <c r="P215" s="70"/>
      <c r="Q215" s="70"/>
      <c r="R215" s="70"/>
      <c r="S215" s="70"/>
      <c r="T215" s="70"/>
    </row>
    <row r="216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70"/>
      <c r="N216" s="70"/>
      <c r="O216" s="70"/>
      <c r="P216" s="70"/>
      <c r="Q216" s="70"/>
      <c r="R216" s="70"/>
      <c r="S216" s="70"/>
      <c r="T216" s="70"/>
    </row>
    <row r="217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70"/>
      <c r="N217" s="70"/>
      <c r="O217" s="70"/>
      <c r="P217" s="70"/>
      <c r="Q217" s="70"/>
      <c r="R217" s="70"/>
      <c r="S217" s="70"/>
      <c r="T217" s="70"/>
    </row>
    <row r="218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70"/>
      <c r="N218" s="70"/>
      <c r="O218" s="70"/>
      <c r="P218" s="70"/>
      <c r="Q218" s="70"/>
      <c r="R218" s="70"/>
      <c r="S218" s="70"/>
      <c r="T218" s="70"/>
    </row>
    <row r="219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70"/>
      <c r="N219" s="70"/>
      <c r="O219" s="70"/>
      <c r="P219" s="70"/>
      <c r="Q219" s="70"/>
      <c r="R219" s="70"/>
      <c r="S219" s="70"/>
      <c r="T219" s="70"/>
    </row>
    <row r="220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70"/>
      <c r="N220" s="70"/>
      <c r="O220" s="70"/>
      <c r="P220" s="70"/>
      <c r="Q220" s="70"/>
      <c r="R220" s="70"/>
      <c r="S220" s="70"/>
      <c r="T220" s="70"/>
    </row>
    <row r="22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70"/>
      <c r="N221" s="70"/>
      <c r="O221" s="70"/>
      <c r="P221" s="70"/>
      <c r="Q221" s="70"/>
      <c r="R221" s="70"/>
      <c r="S221" s="70"/>
      <c r="T221" s="70"/>
    </row>
    <row r="222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70"/>
      <c r="N222" s="70"/>
      <c r="O222" s="70"/>
      <c r="P222" s="70"/>
      <c r="Q222" s="70"/>
      <c r="R222" s="70"/>
      <c r="S222" s="70"/>
      <c r="T222" s="70"/>
    </row>
    <row r="223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70"/>
      <c r="N223" s="70"/>
      <c r="O223" s="70"/>
      <c r="P223" s="70"/>
      <c r="Q223" s="70"/>
      <c r="R223" s="70"/>
      <c r="S223" s="70"/>
      <c r="T223" s="70"/>
    </row>
    <row r="224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70"/>
      <c r="N224" s="70"/>
      <c r="O224" s="70"/>
      <c r="P224" s="70"/>
      <c r="Q224" s="70"/>
      <c r="R224" s="70"/>
      <c r="S224" s="70"/>
      <c r="T224" s="70"/>
    </row>
    <row r="22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70"/>
      <c r="N225" s="70"/>
      <c r="O225" s="70"/>
      <c r="P225" s="70"/>
      <c r="Q225" s="70"/>
      <c r="R225" s="70"/>
      <c r="S225" s="70"/>
      <c r="T225" s="70"/>
    </row>
    <row r="226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70"/>
      <c r="N226" s="70"/>
      <c r="O226" s="70"/>
      <c r="P226" s="70"/>
      <c r="Q226" s="70"/>
      <c r="R226" s="70"/>
      <c r="S226" s="70"/>
      <c r="T226" s="70"/>
    </row>
    <row r="227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70"/>
      <c r="N227" s="70"/>
      <c r="O227" s="70"/>
      <c r="P227" s="70"/>
      <c r="Q227" s="70"/>
      <c r="R227" s="70"/>
      <c r="S227" s="70"/>
      <c r="T227" s="70"/>
    </row>
    <row r="228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70"/>
      <c r="N228" s="70"/>
      <c r="O228" s="70"/>
      <c r="P228" s="70"/>
      <c r="Q228" s="70"/>
      <c r="R228" s="70"/>
      <c r="S228" s="70"/>
      <c r="T228" s="70"/>
    </row>
    <row r="229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70"/>
      <c r="N229" s="70"/>
      <c r="O229" s="70"/>
      <c r="P229" s="70"/>
      <c r="Q229" s="70"/>
      <c r="R229" s="70"/>
      <c r="S229" s="70"/>
      <c r="T229" s="70"/>
    </row>
    <row r="230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70"/>
      <c r="N230" s="70"/>
      <c r="O230" s="70"/>
      <c r="P230" s="70"/>
      <c r="Q230" s="70"/>
      <c r="R230" s="70"/>
      <c r="S230" s="70"/>
      <c r="T230" s="70"/>
    </row>
    <row r="23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70"/>
      <c r="N231" s="70"/>
      <c r="O231" s="70"/>
      <c r="P231" s="70"/>
      <c r="Q231" s="70"/>
      <c r="R231" s="70"/>
      <c r="S231" s="70"/>
      <c r="T231" s="70"/>
    </row>
    <row r="232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70"/>
      <c r="N232" s="70"/>
      <c r="O232" s="70"/>
      <c r="P232" s="70"/>
      <c r="Q232" s="70"/>
      <c r="R232" s="70"/>
      <c r="S232" s="70"/>
      <c r="T232" s="70"/>
    </row>
    <row r="233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70"/>
      <c r="N233" s="70"/>
      <c r="O233" s="70"/>
      <c r="P233" s="70"/>
      <c r="Q233" s="70"/>
      <c r="R233" s="70"/>
      <c r="S233" s="70"/>
      <c r="T233" s="70"/>
    </row>
    <row r="234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70"/>
      <c r="N234" s="70"/>
      <c r="O234" s="70"/>
      <c r="P234" s="70"/>
      <c r="Q234" s="70"/>
      <c r="R234" s="70"/>
      <c r="S234" s="70"/>
      <c r="T234" s="70"/>
    </row>
    <row r="235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70"/>
      <c r="N235" s="70"/>
      <c r="O235" s="70"/>
      <c r="P235" s="70"/>
      <c r="Q235" s="70"/>
      <c r="R235" s="70"/>
      <c r="S235" s="70"/>
      <c r="T235" s="70"/>
    </row>
    <row r="236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70"/>
      <c r="N236" s="70"/>
      <c r="O236" s="70"/>
      <c r="P236" s="70"/>
      <c r="Q236" s="70"/>
      <c r="R236" s="70"/>
      <c r="S236" s="70"/>
      <c r="T236" s="70"/>
    </row>
    <row r="237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70"/>
      <c r="N237" s="70"/>
      <c r="O237" s="70"/>
      <c r="P237" s="70"/>
      <c r="Q237" s="70"/>
      <c r="R237" s="70"/>
      <c r="S237" s="70"/>
      <c r="T237" s="70"/>
    </row>
    <row r="238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70"/>
      <c r="N238" s="70"/>
      <c r="O238" s="70"/>
      <c r="P238" s="70"/>
      <c r="Q238" s="70"/>
      <c r="R238" s="70"/>
      <c r="S238" s="70"/>
      <c r="T238" s="70"/>
    </row>
    <row r="239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70"/>
      <c r="N239" s="70"/>
      <c r="O239" s="70"/>
      <c r="P239" s="70"/>
      <c r="Q239" s="70"/>
      <c r="R239" s="70"/>
      <c r="S239" s="70"/>
      <c r="T239" s="70"/>
    </row>
    <row r="240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70"/>
      <c r="N240" s="70"/>
      <c r="O240" s="70"/>
      <c r="P240" s="70"/>
      <c r="Q240" s="70"/>
      <c r="R240" s="70"/>
      <c r="S240" s="70"/>
      <c r="T240" s="70"/>
    </row>
    <row r="24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70"/>
      <c r="N241" s="70"/>
      <c r="O241" s="70"/>
      <c r="P241" s="70"/>
      <c r="Q241" s="70"/>
      <c r="R241" s="70"/>
      <c r="S241" s="70"/>
      <c r="T241" s="70"/>
    </row>
    <row r="242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70"/>
      <c r="N242" s="70"/>
      <c r="O242" s="70"/>
      <c r="P242" s="70"/>
      <c r="Q242" s="70"/>
      <c r="R242" s="70"/>
      <c r="S242" s="70"/>
      <c r="T242" s="70"/>
    </row>
    <row r="243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70"/>
      <c r="N243" s="70"/>
      <c r="O243" s="70"/>
      <c r="P243" s="70"/>
      <c r="Q243" s="70"/>
      <c r="R243" s="70"/>
      <c r="S243" s="70"/>
      <c r="T243" s="70"/>
    </row>
    <row r="244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70"/>
      <c r="N244" s="70"/>
      <c r="O244" s="70"/>
      <c r="P244" s="70"/>
      <c r="Q244" s="70"/>
      <c r="R244" s="70"/>
      <c r="S244" s="70"/>
      <c r="T244" s="70"/>
    </row>
    <row r="245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70"/>
      <c r="N245" s="70"/>
      <c r="O245" s="70"/>
      <c r="P245" s="70"/>
      <c r="Q245" s="70"/>
      <c r="R245" s="70"/>
      <c r="S245" s="70"/>
      <c r="T245" s="70"/>
    </row>
    <row r="246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70"/>
      <c r="N246" s="70"/>
      <c r="O246" s="70"/>
      <c r="P246" s="70"/>
      <c r="Q246" s="70"/>
      <c r="R246" s="70"/>
      <c r="S246" s="70"/>
      <c r="T246" s="70"/>
    </row>
    <row r="247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70"/>
      <c r="N247" s="70"/>
      <c r="O247" s="70"/>
      <c r="P247" s="70"/>
      <c r="Q247" s="70"/>
      <c r="R247" s="70"/>
      <c r="S247" s="70"/>
      <c r="T247" s="70"/>
    </row>
    <row r="248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70"/>
      <c r="N248" s="70"/>
      <c r="O248" s="70"/>
      <c r="P248" s="70"/>
      <c r="Q248" s="70"/>
      <c r="R248" s="70"/>
      <c r="S248" s="70"/>
      <c r="T248" s="70"/>
    </row>
    <row r="249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70"/>
      <c r="N249" s="70"/>
      <c r="O249" s="70"/>
      <c r="P249" s="70"/>
      <c r="Q249" s="70"/>
      <c r="R249" s="70"/>
      <c r="S249" s="70"/>
      <c r="T249" s="70"/>
    </row>
    <row r="250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70"/>
      <c r="N250" s="70"/>
      <c r="O250" s="70"/>
      <c r="P250" s="70"/>
      <c r="Q250" s="70"/>
      <c r="R250" s="70"/>
      <c r="S250" s="70"/>
      <c r="T250" s="70"/>
    </row>
    <row r="25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70"/>
      <c r="N251" s="70"/>
      <c r="O251" s="70"/>
      <c r="P251" s="70"/>
      <c r="Q251" s="70"/>
      <c r="R251" s="70"/>
      <c r="S251" s="70"/>
      <c r="T251" s="70"/>
    </row>
    <row r="252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70"/>
      <c r="N252" s="70"/>
      <c r="O252" s="70"/>
      <c r="P252" s="70"/>
      <c r="Q252" s="70"/>
      <c r="R252" s="70"/>
      <c r="S252" s="70"/>
      <c r="T252" s="70"/>
    </row>
    <row r="253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70"/>
      <c r="N253" s="70"/>
      <c r="O253" s="70"/>
      <c r="P253" s="70"/>
      <c r="Q253" s="70"/>
      <c r="R253" s="70"/>
      <c r="S253" s="70"/>
      <c r="T253" s="70"/>
    </row>
    <row r="254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70"/>
      <c r="N254" s="70"/>
      <c r="O254" s="70"/>
      <c r="P254" s="70"/>
      <c r="Q254" s="70"/>
      <c r="R254" s="70"/>
      <c r="S254" s="70"/>
      <c r="T254" s="70"/>
    </row>
    <row r="255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70"/>
      <c r="N255" s="70"/>
      <c r="O255" s="70"/>
      <c r="P255" s="70"/>
      <c r="Q255" s="70"/>
      <c r="R255" s="70"/>
      <c r="S255" s="70"/>
      <c r="T255" s="70"/>
    </row>
    <row r="256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70"/>
      <c r="N256" s="70"/>
      <c r="O256" s="70"/>
      <c r="P256" s="70"/>
      <c r="Q256" s="70"/>
      <c r="R256" s="70"/>
      <c r="S256" s="70"/>
      <c r="T256" s="70"/>
    </row>
    <row r="257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70"/>
      <c r="N257" s="70"/>
      <c r="O257" s="70"/>
      <c r="P257" s="70"/>
      <c r="Q257" s="70"/>
      <c r="R257" s="70"/>
      <c r="S257" s="70"/>
      <c r="T257" s="70"/>
    </row>
    <row r="258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70"/>
      <c r="N258" s="70"/>
      <c r="O258" s="70"/>
      <c r="P258" s="70"/>
      <c r="Q258" s="70"/>
      <c r="R258" s="70"/>
      <c r="S258" s="70"/>
      <c r="T258" s="70"/>
    </row>
    <row r="259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70"/>
      <c r="N259" s="70"/>
      <c r="O259" s="70"/>
      <c r="P259" s="70"/>
      <c r="Q259" s="70"/>
      <c r="R259" s="70"/>
      <c r="S259" s="70"/>
      <c r="T259" s="70"/>
    </row>
    <row r="260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70"/>
      <c r="N260" s="70"/>
      <c r="O260" s="70"/>
      <c r="P260" s="70"/>
      <c r="Q260" s="70"/>
      <c r="R260" s="70"/>
      <c r="S260" s="70"/>
      <c r="T260" s="7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63"/>
    <col customWidth="1" min="2" max="2" width="18.88"/>
    <col customWidth="1" min="3" max="3" width="22.63"/>
    <col customWidth="1" min="4" max="4" width="18.88"/>
    <col customWidth="1" min="5" max="5" width="20.13"/>
    <col customWidth="1" min="6" max="6" width="18.88"/>
    <col customWidth="1" min="7" max="7" width="17.63"/>
    <col customWidth="1" min="8" max="8" width="16.38"/>
    <col customWidth="1" min="9" max="9" width="20.13"/>
    <col customWidth="1" min="10" max="12" width="15.13"/>
  </cols>
  <sheetData>
    <row r="1" ht="30.0" customHeight="1">
      <c r="A1" s="100" t="s">
        <v>138</v>
      </c>
      <c r="M1" s="101"/>
      <c r="N1" s="101"/>
      <c r="O1" s="101"/>
      <c r="P1" s="101"/>
      <c r="Q1" s="101"/>
      <c r="R1" s="101"/>
      <c r="S1" s="101"/>
      <c r="T1" s="101"/>
    </row>
    <row r="2" ht="24.0" customHeight="1">
      <c r="A2" s="102"/>
      <c r="C2" s="103"/>
      <c r="E2" s="104"/>
      <c r="G2" s="103" t="s">
        <v>139</v>
      </c>
      <c r="I2" s="103" t="s">
        <v>140</v>
      </c>
      <c r="M2" s="101"/>
      <c r="N2" s="101"/>
      <c r="O2" s="101"/>
      <c r="P2" s="101"/>
      <c r="Q2" s="101"/>
      <c r="R2" s="101"/>
      <c r="S2" s="101"/>
      <c r="T2" s="101"/>
    </row>
    <row r="3" ht="45.0" customHeight="1">
      <c r="A3" s="105"/>
      <c r="B3" s="81"/>
      <c r="D3" s="106" t="str">
        <f>IF($K$2=TRUE, "****", IFERROR(Summary!D2, 0))</f>
        <v/>
      </c>
      <c r="G3" s="107" t="str">
        <f>IF($K$2=TRUE, "****", IFERROR(Summary!D3, 0))</f>
        <v/>
      </c>
      <c r="I3" s="81"/>
      <c r="J3" s="108"/>
      <c r="M3" s="108"/>
      <c r="N3" s="108"/>
      <c r="O3" s="108"/>
      <c r="P3" s="108"/>
      <c r="Q3" s="108"/>
      <c r="R3" s="108"/>
      <c r="S3" s="108"/>
      <c r="T3" s="108"/>
    </row>
    <row r="4" ht="45.0" customHeight="1">
      <c r="B4" s="109"/>
      <c r="D4" s="109"/>
      <c r="F4" s="109"/>
      <c r="H4" s="109"/>
      <c r="M4" s="108"/>
      <c r="N4" s="108"/>
      <c r="O4" s="108"/>
      <c r="P4" s="108"/>
      <c r="Q4" s="108"/>
      <c r="R4" s="108"/>
      <c r="S4" s="108"/>
      <c r="T4" s="108"/>
    </row>
    <row r="5" ht="52.5" customHeight="1">
      <c r="A5" s="105"/>
      <c r="B5" s="81"/>
      <c r="M5" s="108"/>
      <c r="N5" s="108"/>
      <c r="O5" s="108"/>
      <c r="P5" s="108"/>
      <c r="Q5" s="108"/>
      <c r="R5" s="108"/>
      <c r="S5" s="108"/>
      <c r="T5" s="108"/>
    </row>
    <row r="6" ht="52.5" customHeight="1">
      <c r="M6" s="108"/>
      <c r="N6" s="108"/>
      <c r="O6" s="108"/>
      <c r="P6" s="108"/>
      <c r="Q6" s="108"/>
      <c r="R6" s="108"/>
      <c r="S6" s="108"/>
      <c r="T6" s="108"/>
    </row>
    <row r="7">
      <c r="A7" s="108"/>
      <c r="B7" s="110">
        <f>Daily!A2</f>
        <v>45894</v>
      </c>
      <c r="C7" s="111">
        <f>IF($K$2=TRUE, "****", Daily!B2)</f>
        <v>3465.38</v>
      </c>
      <c r="D7" s="112">
        <f>IF($K$2=TRUE, "****", Daily!C2)</f>
        <v>970.8</v>
      </c>
      <c r="E7" s="111">
        <f>IF($K$2=TRUE, "****", Daily!D2)</f>
        <v>0</v>
      </c>
      <c r="F7" s="111">
        <f>IF($K$2=TRUE, "****", Daily!F2)</f>
        <v>1.07</v>
      </c>
      <c r="G7" s="111" t="str">
        <f>Daily!G2</f>
        <v>txn</v>
      </c>
      <c r="H7" s="111">
        <f>Daily!E2</f>
        <v>4436.18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</row>
    <row r="8">
      <c r="A8" s="113"/>
      <c r="B8" s="114">
        <f>Daily!A3</f>
        <v>45895</v>
      </c>
      <c r="C8" s="115">
        <f>IF($K$2=TRUE, "****", Daily!B3)</f>
        <v>3465.38</v>
      </c>
      <c r="D8" s="116">
        <f>IF($K$2=TRUE, "****", Daily!C3)</f>
        <v>975.06</v>
      </c>
      <c r="E8" s="115">
        <f>IF($K$2=TRUE, "****", Daily!D3)</f>
        <v>0</v>
      </c>
      <c r="F8" s="115">
        <f>IF($K$2=TRUE, "****", Daily!F3)</f>
        <v>1.07</v>
      </c>
      <c r="G8" s="115" t="str">
        <f>Daily!G3</f>
        <v>carry</v>
      </c>
      <c r="H8" s="115">
        <f>Daily!E3</f>
        <v>4440.44</v>
      </c>
      <c r="I8" s="113"/>
      <c r="J8" s="113"/>
      <c r="K8" s="113"/>
      <c r="L8" s="113"/>
      <c r="M8" s="108"/>
      <c r="N8" s="108"/>
      <c r="O8" s="108"/>
      <c r="P8" s="108"/>
      <c r="Q8" s="108"/>
      <c r="R8" s="108"/>
      <c r="S8" s="108"/>
      <c r="T8" s="108"/>
    </row>
    <row r="9">
      <c r="A9" s="108"/>
      <c r="B9" s="110">
        <f>Daily!A4</f>
        <v>45896</v>
      </c>
      <c r="C9" s="111">
        <f>IF($K$2=TRUE, "****", Daily!B4)</f>
        <v>3465.38</v>
      </c>
      <c r="D9" s="112">
        <f>IF($K$2=TRUE, "****", Daily!C4)</f>
        <v>979.66</v>
      </c>
      <c r="E9" s="111">
        <f>IF($K$2=TRUE, "****", Daily!D4)</f>
        <v>0</v>
      </c>
      <c r="F9" s="111">
        <f>IF($K$2=TRUE, "****", Daily!F4)</f>
        <v>1.07</v>
      </c>
      <c r="G9" s="111" t="str">
        <f>Daily!G4</f>
        <v>carry</v>
      </c>
      <c r="H9" s="111">
        <f>Daily!E4</f>
        <v>4445.04</v>
      </c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</row>
    <row r="10">
      <c r="A10" s="113"/>
      <c r="B10" s="114">
        <f>Daily!A5</f>
        <v>45897</v>
      </c>
      <c r="C10" s="115">
        <f>IF($K$2=TRUE, "****", Daily!B5)</f>
        <v>3465.38</v>
      </c>
      <c r="D10" s="116">
        <f>IF($K$2=TRUE, "****", Daily!C5)</f>
        <v>987.49</v>
      </c>
      <c r="E10" s="115">
        <f>IF($K$2=TRUE, "****", Daily!D5)</f>
        <v>0</v>
      </c>
      <c r="F10" s="115">
        <f>IF($K$2=TRUE, "****", Daily!F5)</f>
        <v>1.07</v>
      </c>
      <c r="G10" s="115" t="str">
        <f>Daily!G5</f>
        <v>carry</v>
      </c>
      <c r="H10" s="115">
        <f>Daily!E5</f>
        <v>4452.87</v>
      </c>
      <c r="I10" s="113"/>
      <c r="J10" s="113"/>
      <c r="K10" s="113"/>
      <c r="L10" s="113"/>
      <c r="M10" s="108"/>
      <c r="N10" s="108"/>
      <c r="O10" s="108"/>
      <c r="P10" s="108"/>
      <c r="Q10" s="108"/>
      <c r="R10" s="108"/>
      <c r="S10" s="108"/>
      <c r="T10" s="108"/>
    </row>
    <row r="11">
      <c r="A11" s="108"/>
      <c r="B11" s="110">
        <f>Daily!A6</f>
        <v>45898</v>
      </c>
      <c r="C11" s="111">
        <f>IF($K$2=TRUE, "****", Daily!B6)</f>
        <v>3465.38</v>
      </c>
      <c r="D11" s="112">
        <f>IF($K$2=TRUE, "****", Daily!C6)</f>
        <v>999.54</v>
      </c>
      <c r="E11" s="111">
        <f>IF($K$2=TRUE, "****", Daily!D6)</f>
        <v>0</v>
      </c>
      <c r="F11" s="111">
        <f>IF($K$2=TRUE, "****", Daily!F6)</f>
        <v>1.07</v>
      </c>
      <c r="G11" s="111" t="str">
        <f>Daily!G6</f>
        <v>carry</v>
      </c>
      <c r="H11" s="111">
        <f>Daily!E6</f>
        <v>4464.92</v>
      </c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T11" s="108"/>
    </row>
    <row r="12">
      <c r="A12" s="113"/>
      <c r="B12" s="114">
        <f>Daily!A7</f>
        <v>45899</v>
      </c>
      <c r="C12" s="115">
        <f>IF($K$2=TRUE, "****", Daily!B7)</f>
        <v>3465.38</v>
      </c>
      <c r="D12" s="116">
        <f>IF($K$2=TRUE, "****", Daily!C7)</f>
        <v>999.54</v>
      </c>
      <c r="E12" s="115">
        <f>IF($K$2=TRUE, "****", Daily!D7)</f>
        <v>0</v>
      </c>
      <c r="F12" s="115">
        <f>IF($K$2=TRUE, "****", Daily!F7)</f>
        <v>1.07</v>
      </c>
      <c r="G12" s="115" t="str">
        <f>Daily!G7</f>
        <v>carry</v>
      </c>
      <c r="H12" s="115">
        <f>Daily!E7</f>
        <v>4464.92</v>
      </c>
      <c r="I12" s="113"/>
      <c r="J12" s="113"/>
      <c r="K12" s="113"/>
      <c r="L12" s="113"/>
      <c r="M12" s="108"/>
      <c r="N12" s="108"/>
      <c r="O12" s="108"/>
      <c r="P12" s="108"/>
      <c r="Q12" s="108"/>
      <c r="R12" s="108"/>
      <c r="S12" s="108"/>
      <c r="T12" s="108"/>
    </row>
    <row r="13">
      <c r="A13" s="108"/>
      <c r="B13" s="110">
        <f>Daily!A8</f>
        <v>45900</v>
      </c>
      <c r="C13" s="111">
        <f>IF($K$2=TRUE, "****", Daily!B8)</f>
        <v>3465.38</v>
      </c>
      <c r="D13" s="112">
        <f>IF($K$2=TRUE, "****", Daily!C8)</f>
        <v>999.54</v>
      </c>
      <c r="E13" s="111">
        <f>IF($K$2=TRUE, "****", Daily!D8)</f>
        <v>0</v>
      </c>
      <c r="F13" s="111">
        <f>IF($K$2=TRUE, "****", Daily!F8)</f>
        <v>1.07</v>
      </c>
      <c r="G13" s="111" t="str">
        <f>Daily!G8</f>
        <v>anchor</v>
      </c>
      <c r="H13" s="111">
        <f>Daily!E8</f>
        <v>4464.92</v>
      </c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8"/>
      <c r="T13" s="108"/>
    </row>
    <row r="14">
      <c r="A14" s="113"/>
      <c r="B14" s="114"/>
      <c r="C14" s="114"/>
      <c r="D14" s="113"/>
      <c r="E14" s="114"/>
      <c r="F14" s="114"/>
      <c r="G14" s="114"/>
      <c r="H14" s="114"/>
      <c r="I14" s="113"/>
      <c r="J14" s="113"/>
      <c r="K14" s="113"/>
      <c r="L14" s="113"/>
      <c r="M14" s="108"/>
      <c r="N14" s="108"/>
      <c r="O14" s="108"/>
      <c r="P14" s="108"/>
      <c r="Q14" s="108"/>
      <c r="R14" s="108"/>
      <c r="S14" s="108"/>
      <c r="T14" s="108"/>
    </row>
    <row r="15">
      <c r="A15" s="108"/>
      <c r="B15" s="110"/>
      <c r="C15" s="110"/>
      <c r="D15" s="108"/>
      <c r="E15" s="110"/>
      <c r="F15" s="110"/>
      <c r="G15" s="110"/>
      <c r="H15" s="110"/>
      <c r="I15" s="108"/>
      <c r="J15" s="108"/>
      <c r="K15" s="108"/>
      <c r="L15" s="108"/>
      <c r="M15" s="108"/>
      <c r="N15" s="108"/>
      <c r="O15" s="108"/>
      <c r="P15" s="108"/>
      <c r="Q15" s="108"/>
      <c r="R15" s="108"/>
      <c r="S15" s="108"/>
      <c r="T15" s="108"/>
    </row>
    <row r="16">
      <c r="A16" s="113"/>
      <c r="B16" s="114"/>
      <c r="C16" s="114"/>
      <c r="D16" s="113"/>
      <c r="E16" s="114"/>
      <c r="F16" s="114"/>
      <c r="G16" s="114"/>
      <c r="H16" s="114"/>
      <c r="I16" s="113"/>
      <c r="J16" s="113"/>
      <c r="K16" s="113"/>
      <c r="L16" s="113"/>
      <c r="M16" s="108"/>
      <c r="N16" s="108"/>
      <c r="O16" s="108"/>
      <c r="P16" s="108"/>
      <c r="Q16" s="108"/>
      <c r="R16" s="108"/>
      <c r="S16" s="108"/>
      <c r="T16" s="108"/>
    </row>
    <row r="17">
      <c r="A17" s="108"/>
      <c r="B17" s="110"/>
      <c r="C17" s="110"/>
      <c r="D17" s="108"/>
      <c r="E17" s="110"/>
      <c r="F17" s="110"/>
      <c r="G17" s="110"/>
      <c r="H17" s="110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</row>
    <row r="18">
      <c r="A18" s="113"/>
      <c r="B18" s="114"/>
      <c r="C18" s="114"/>
      <c r="D18" s="113"/>
      <c r="E18" s="114"/>
      <c r="F18" s="114"/>
      <c r="G18" s="114"/>
      <c r="H18" s="114"/>
      <c r="I18" s="113"/>
      <c r="J18" s="113"/>
      <c r="K18" s="113"/>
      <c r="L18" s="113"/>
      <c r="M18" s="108"/>
      <c r="N18" s="108"/>
      <c r="O18" s="108"/>
      <c r="P18" s="108"/>
      <c r="Q18" s="108"/>
      <c r="R18" s="108"/>
      <c r="S18" s="108"/>
      <c r="T18" s="108"/>
    </row>
    <row r="19">
      <c r="A19" s="108"/>
      <c r="B19" s="110"/>
      <c r="C19" s="110"/>
      <c r="D19" s="108"/>
      <c r="E19" s="110"/>
      <c r="F19" s="110"/>
      <c r="G19" s="110"/>
      <c r="H19" s="110"/>
      <c r="I19" s="108"/>
      <c r="J19" s="108"/>
      <c r="K19" s="108"/>
      <c r="L19" s="108"/>
      <c r="M19" s="108"/>
      <c r="N19" s="108"/>
      <c r="O19" s="108"/>
      <c r="P19" s="108"/>
      <c r="Q19" s="108"/>
      <c r="R19" s="108"/>
      <c r="S19" s="108"/>
      <c r="T19" s="108"/>
    </row>
    <row r="20">
      <c r="A20" s="113"/>
      <c r="B20" s="114"/>
      <c r="C20" s="114"/>
      <c r="D20" s="113"/>
      <c r="E20" s="114"/>
      <c r="F20" s="114"/>
      <c r="G20" s="114"/>
      <c r="H20" s="114"/>
      <c r="I20" s="113"/>
      <c r="J20" s="113"/>
      <c r="K20" s="113"/>
      <c r="L20" s="113"/>
      <c r="M20" s="108"/>
      <c r="N20" s="108"/>
      <c r="O20" s="108"/>
      <c r="P20" s="108"/>
      <c r="Q20" s="108"/>
      <c r="R20" s="108"/>
      <c r="S20" s="108"/>
      <c r="T20" s="108"/>
    </row>
    <row r="21">
      <c r="A21" s="108"/>
      <c r="B21" s="110"/>
      <c r="C21" s="110"/>
      <c r="D21" s="108"/>
      <c r="E21" s="110"/>
      <c r="F21" s="110"/>
      <c r="G21" s="110"/>
      <c r="H21" s="110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</row>
    <row r="22">
      <c r="A22" s="113"/>
      <c r="B22" s="114"/>
      <c r="C22" s="114"/>
      <c r="D22" s="113"/>
      <c r="E22" s="114"/>
      <c r="F22" s="114"/>
      <c r="G22" s="114"/>
      <c r="H22" s="114"/>
      <c r="I22" s="113"/>
      <c r="J22" s="113"/>
      <c r="K22" s="113"/>
      <c r="L22" s="113"/>
      <c r="M22" s="108"/>
      <c r="N22" s="108"/>
      <c r="O22" s="108"/>
      <c r="P22" s="108"/>
      <c r="Q22" s="108"/>
      <c r="R22" s="108"/>
      <c r="S22" s="108"/>
      <c r="T22" s="108"/>
    </row>
    <row r="23">
      <c r="A23" s="108"/>
      <c r="B23" s="110"/>
      <c r="C23" s="110"/>
      <c r="D23" s="108"/>
      <c r="E23" s="110"/>
      <c r="F23" s="110"/>
      <c r="G23" s="110"/>
      <c r="H23" s="110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</row>
    <row r="24">
      <c r="A24" s="113"/>
      <c r="B24" s="114"/>
      <c r="C24" s="114"/>
      <c r="D24" s="113"/>
      <c r="E24" s="114"/>
      <c r="F24" s="114"/>
      <c r="G24" s="114"/>
      <c r="H24" s="114"/>
      <c r="I24" s="113"/>
      <c r="J24" s="113"/>
      <c r="K24" s="113"/>
      <c r="L24" s="113"/>
      <c r="M24" s="108"/>
      <c r="N24" s="108"/>
      <c r="O24" s="108"/>
      <c r="P24" s="108"/>
      <c r="Q24" s="108"/>
      <c r="R24" s="108"/>
      <c r="S24" s="108"/>
      <c r="T24" s="108"/>
    </row>
    <row r="25">
      <c r="A25" s="108"/>
      <c r="B25" s="110"/>
      <c r="C25" s="110"/>
      <c r="D25" s="108"/>
      <c r="E25" s="110"/>
      <c r="F25" s="110"/>
      <c r="G25" s="110"/>
      <c r="H25" s="110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</row>
    <row r="26">
      <c r="A26" s="113"/>
      <c r="B26" s="114"/>
      <c r="C26" s="114"/>
      <c r="D26" s="113"/>
      <c r="E26" s="114"/>
      <c r="F26" s="114"/>
      <c r="G26" s="114"/>
      <c r="H26" s="114"/>
      <c r="I26" s="113"/>
      <c r="J26" s="113"/>
      <c r="K26" s="113"/>
      <c r="L26" s="113"/>
      <c r="M26" s="108"/>
      <c r="N26" s="108"/>
      <c r="O26" s="108"/>
      <c r="P26" s="108"/>
      <c r="Q26" s="108"/>
      <c r="R26" s="108"/>
      <c r="S26" s="108"/>
      <c r="T26" s="108"/>
    </row>
    <row r="27">
      <c r="A27" s="108"/>
      <c r="B27" s="110"/>
      <c r="C27" s="110"/>
      <c r="D27" s="108"/>
      <c r="E27" s="110"/>
      <c r="F27" s="110"/>
      <c r="G27" s="110"/>
      <c r="H27" s="110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</row>
    <row r="28">
      <c r="A28" s="113"/>
      <c r="B28" s="114"/>
      <c r="C28" s="114"/>
      <c r="D28" s="113"/>
      <c r="E28" s="114"/>
      <c r="F28" s="114"/>
      <c r="G28" s="114"/>
      <c r="H28" s="114"/>
      <c r="I28" s="113"/>
      <c r="J28" s="113"/>
      <c r="K28" s="113"/>
      <c r="L28" s="113"/>
      <c r="M28" s="108"/>
      <c r="N28" s="108"/>
      <c r="O28" s="108"/>
      <c r="P28" s="108"/>
      <c r="Q28" s="108"/>
      <c r="R28" s="108"/>
      <c r="S28" s="108"/>
      <c r="T28" s="108"/>
    </row>
    <row r="29">
      <c r="A29" s="108"/>
      <c r="B29" s="110"/>
      <c r="C29" s="110"/>
      <c r="D29" s="108"/>
      <c r="E29" s="110"/>
      <c r="F29" s="110"/>
      <c r="G29" s="110"/>
      <c r="H29" s="110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</row>
    <row r="30">
      <c r="A30" s="113"/>
      <c r="B30" s="114"/>
      <c r="C30" s="114"/>
      <c r="D30" s="113"/>
      <c r="E30" s="114"/>
      <c r="F30" s="114"/>
      <c r="G30" s="114"/>
      <c r="H30" s="114"/>
      <c r="I30" s="113"/>
      <c r="J30" s="113"/>
      <c r="K30" s="113"/>
      <c r="L30" s="113"/>
      <c r="M30" s="108"/>
      <c r="N30" s="108"/>
      <c r="O30" s="108"/>
      <c r="P30" s="108"/>
      <c r="Q30" s="108"/>
      <c r="R30" s="108"/>
      <c r="S30" s="108"/>
      <c r="T30" s="108"/>
    </row>
    <row r="31">
      <c r="A31" s="108"/>
      <c r="B31" s="110"/>
      <c r="C31" s="110"/>
      <c r="D31" s="108"/>
      <c r="E31" s="110"/>
      <c r="F31" s="110"/>
      <c r="G31" s="110"/>
      <c r="H31" s="110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</row>
    <row r="32">
      <c r="A32" s="113"/>
      <c r="B32" s="114"/>
      <c r="C32" s="114"/>
      <c r="D32" s="113"/>
      <c r="E32" s="114"/>
      <c r="F32" s="114"/>
      <c r="G32" s="114"/>
      <c r="H32" s="114"/>
      <c r="I32" s="113"/>
      <c r="J32" s="113"/>
      <c r="K32" s="113"/>
      <c r="L32" s="113"/>
      <c r="M32" s="108"/>
      <c r="N32" s="108"/>
      <c r="O32" s="108"/>
      <c r="P32" s="108"/>
      <c r="Q32" s="108"/>
      <c r="R32" s="108"/>
      <c r="S32" s="108"/>
      <c r="T32" s="108"/>
    </row>
    <row r="33">
      <c r="A33" s="108"/>
      <c r="B33" s="110"/>
      <c r="C33" s="110"/>
      <c r="D33" s="108"/>
      <c r="E33" s="110"/>
      <c r="F33" s="110"/>
      <c r="G33" s="110"/>
      <c r="H33" s="110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</row>
    <row r="34">
      <c r="A34" s="113"/>
      <c r="B34" s="114"/>
      <c r="C34" s="114"/>
      <c r="D34" s="113"/>
      <c r="E34" s="114"/>
      <c r="F34" s="114"/>
      <c r="G34" s="114"/>
      <c r="H34" s="114"/>
      <c r="I34" s="113"/>
      <c r="J34" s="113"/>
      <c r="K34" s="113"/>
      <c r="L34" s="113"/>
      <c r="M34" s="108"/>
      <c r="N34" s="108"/>
      <c r="O34" s="108"/>
      <c r="P34" s="108"/>
      <c r="Q34" s="108"/>
      <c r="R34" s="108"/>
      <c r="S34" s="108"/>
      <c r="T34" s="108"/>
    </row>
    <row r="35">
      <c r="A35" s="108"/>
      <c r="B35" s="110"/>
      <c r="C35" s="110"/>
      <c r="D35" s="108"/>
      <c r="E35" s="110"/>
      <c r="F35" s="110"/>
      <c r="G35" s="110"/>
      <c r="H35" s="110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</row>
    <row r="36">
      <c r="A36" s="113"/>
      <c r="B36" s="114"/>
      <c r="C36" s="114"/>
      <c r="D36" s="113"/>
      <c r="E36" s="114"/>
      <c r="F36" s="114"/>
      <c r="G36" s="114"/>
      <c r="H36" s="114"/>
      <c r="I36" s="113"/>
      <c r="J36" s="113"/>
      <c r="K36" s="113"/>
      <c r="L36" s="113"/>
      <c r="M36" s="108"/>
      <c r="N36" s="108"/>
      <c r="O36" s="108"/>
      <c r="P36" s="108"/>
      <c r="Q36" s="108"/>
      <c r="R36" s="108"/>
      <c r="S36" s="108"/>
      <c r="T36" s="108"/>
    </row>
    <row r="37">
      <c r="A37" s="108"/>
      <c r="B37" s="110"/>
      <c r="C37" s="110"/>
      <c r="D37" s="108"/>
      <c r="E37" s="110"/>
      <c r="F37" s="110"/>
      <c r="G37" s="110"/>
      <c r="H37" s="110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</row>
    <row r="38">
      <c r="A38" s="113"/>
      <c r="B38" s="114"/>
      <c r="C38" s="114"/>
      <c r="D38" s="113"/>
      <c r="E38" s="114"/>
      <c r="F38" s="114"/>
      <c r="G38" s="114"/>
      <c r="H38" s="114"/>
      <c r="I38" s="113"/>
      <c r="J38" s="113"/>
      <c r="K38" s="113"/>
      <c r="L38" s="113"/>
      <c r="M38" s="108"/>
      <c r="N38" s="108"/>
      <c r="O38" s="108"/>
      <c r="P38" s="108"/>
      <c r="Q38" s="108"/>
      <c r="R38" s="108"/>
      <c r="S38" s="108"/>
      <c r="T38" s="108"/>
    </row>
    <row r="39">
      <c r="A39" s="108"/>
      <c r="B39" s="110"/>
      <c r="C39" s="110"/>
      <c r="D39" s="108"/>
      <c r="E39" s="110"/>
      <c r="F39" s="110"/>
      <c r="G39" s="110"/>
      <c r="H39" s="110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</row>
    <row r="40">
      <c r="A40" s="113"/>
      <c r="B40" s="114"/>
      <c r="C40" s="114"/>
      <c r="D40" s="113"/>
      <c r="E40" s="114"/>
      <c r="F40" s="114"/>
      <c r="G40" s="114"/>
      <c r="H40" s="114"/>
      <c r="I40" s="113"/>
      <c r="J40" s="113"/>
      <c r="K40" s="113"/>
      <c r="L40" s="113"/>
      <c r="M40" s="108"/>
      <c r="N40" s="108"/>
      <c r="O40" s="108"/>
      <c r="P40" s="108"/>
      <c r="Q40" s="108"/>
      <c r="R40" s="108"/>
      <c r="S40" s="108"/>
      <c r="T40" s="108"/>
    </row>
    <row r="41">
      <c r="A41" s="108"/>
      <c r="B41" s="110"/>
      <c r="C41" s="110"/>
      <c r="D41" s="108"/>
      <c r="E41" s="110"/>
      <c r="F41" s="110"/>
      <c r="G41" s="110"/>
      <c r="H41" s="110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</row>
    <row r="42">
      <c r="A42" s="113"/>
      <c r="B42" s="114"/>
      <c r="C42" s="114"/>
      <c r="D42" s="113"/>
      <c r="E42" s="114"/>
      <c r="F42" s="114"/>
      <c r="G42" s="114"/>
      <c r="H42" s="114"/>
      <c r="I42" s="113"/>
      <c r="J42" s="113"/>
      <c r="K42" s="113"/>
      <c r="L42" s="113"/>
      <c r="M42" s="108"/>
      <c r="N42" s="108"/>
      <c r="O42" s="108"/>
      <c r="P42" s="108"/>
      <c r="Q42" s="108"/>
      <c r="R42" s="108"/>
      <c r="S42" s="108"/>
      <c r="T42" s="108"/>
    </row>
    <row r="43">
      <c r="A43" s="108"/>
      <c r="B43" s="110"/>
      <c r="C43" s="110"/>
      <c r="D43" s="108"/>
      <c r="E43" s="110"/>
      <c r="F43" s="110"/>
      <c r="G43" s="110"/>
      <c r="H43" s="110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</row>
    <row r="44">
      <c r="A44" s="113"/>
      <c r="B44" s="114"/>
      <c r="C44" s="114"/>
      <c r="D44" s="113"/>
      <c r="E44" s="114"/>
      <c r="F44" s="114"/>
      <c r="G44" s="114"/>
      <c r="H44" s="114"/>
      <c r="I44" s="113"/>
      <c r="J44" s="113"/>
      <c r="K44" s="113"/>
      <c r="L44" s="113"/>
      <c r="M44" s="108"/>
      <c r="N44" s="108"/>
      <c r="O44" s="108"/>
      <c r="P44" s="108"/>
      <c r="Q44" s="108"/>
      <c r="R44" s="108"/>
      <c r="S44" s="108"/>
      <c r="T44" s="108"/>
    </row>
    <row r="45">
      <c r="A45" s="108"/>
      <c r="B45" s="110"/>
      <c r="C45" s="110"/>
      <c r="D45" s="108"/>
      <c r="E45" s="110"/>
      <c r="F45" s="110"/>
      <c r="G45" s="110"/>
      <c r="H45" s="110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</row>
    <row r="46">
      <c r="A46" s="113"/>
      <c r="B46" s="114"/>
      <c r="C46" s="114"/>
      <c r="D46" s="113"/>
      <c r="E46" s="114"/>
      <c r="F46" s="114"/>
      <c r="G46" s="114"/>
      <c r="H46" s="114"/>
      <c r="I46" s="113"/>
      <c r="J46" s="113"/>
      <c r="K46" s="113"/>
      <c r="L46" s="113"/>
      <c r="M46" s="108"/>
      <c r="N46" s="108"/>
      <c r="O46" s="108"/>
      <c r="P46" s="108"/>
      <c r="Q46" s="108"/>
      <c r="R46" s="108"/>
      <c r="S46" s="108"/>
      <c r="T46" s="108"/>
    </row>
    <row r="47">
      <c r="A47" s="108"/>
      <c r="B47" s="110"/>
      <c r="C47" s="110"/>
      <c r="D47" s="108"/>
      <c r="E47" s="110"/>
      <c r="F47" s="110"/>
      <c r="G47" s="110"/>
      <c r="H47" s="110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</row>
    <row r="48">
      <c r="A48" s="113"/>
      <c r="B48" s="114"/>
      <c r="C48" s="114"/>
      <c r="D48" s="113"/>
      <c r="E48" s="114"/>
      <c r="F48" s="114"/>
      <c r="G48" s="114"/>
      <c r="H48" s="114"/>
      <c r="I48" s="113"/>
      <c r="J48" s="113"/>
      <c r="K48" s="113"/>
      <c r="L48" s="113"/>
      <c r="M48" s="108"/>
      <c r="N48" s="108"/>
      <c r="O48" s="108"/>
      <c r="P48" s="108"/>
      <c r="Q48" s="108"/>
      <c r="R48" s="108"/>
      <c r="S48" s="108"/>
      <c r="T48" s="108"/>
    </row>
    <row r="49">
      <c r="A49" s="108"/>
      <c r="B49" s="110"/>
      <c r="C49" s="110"/>
      <c r="D49" s="108"/>
      <c r="E49" s="110"/>
      <c r="F49" s="110"/>
      <c r="G49" s="110"/>
      <c r="H49" s="110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</row>
    <row r="50">
      <c r="A50" s="113"/>
      <c r="B50" s="114"/>
      <c r="C50" s="114"/>
      <c r="D50" s="113"/>
      <c r="E50" s="114"/>
      <c r="F50" s="114"/>
      <c r="G50" s="114"/>
      <c r="H50" s="114"/>
      <c r="I50" s="113"/>
      <c r="J50" s="113"/>
      <c r="K50" s="113"/>
      <c r="L50" s="113"/>
      <c r="M50" s="108"/>
      <c r="N50" s="108"/>
      <c r="O50" s="108"/>
      <c r="P50" s="108"/>
      <c r="Q50" s="108"/>
      <c r="R50" s="108"/>
      <c r="S50" s="108"/>
      <c r="T50" s="108"/>
    </row>
    <row r="51">
      <c r="A51" s="108"/>
      <c r="B51" s="110"/>
      <c r="C51" s="110"/>
      <c r="D51" s="108"/>
      <c r="E51" s="110"/>
      <c r="F51" s="110"/>
      <c r="G51" s="110"/>
      <c r="H51" s="110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</row>
    <row r="52">
      <c r="A52" s="113"/>
      <c r="B52" s="114"/>
      <c r="C52" s="114"/>
      <c r="D52" s="113"/>
      <c r="E52" s="114"/>
      <c r="F52" s="114"/>
      <c r="G52" s="114"/>
      <c r="H52" s="114"/>
      <c r="I52" s="113"/>
      <c r="J52" s="113"/>
      <c r="K52" s="113"/>
      <c r="L52" s="113"/>
      <c r="M52" s="108"/>
      <c r="N52" s="108"/>
      <c r="O52" s="108"/>
      <c r="P52" s="108"/>
      <c r="Q52" s="108"/>
      <c r="R52" s="108"/>
      <c r="S52" s="108"/>
      <c r="T52" s="108"/>
    </row>
    <row r="53">
      <c r="A53" s="108"/>
      <c r="B53" s="110"/>
      <c r="C53" s="110"/>
      <c r="D53" s="108"/>
      <c r="E53" s="110"/>
      <c r="F53" s="110"/>
      <c r="G53" s="110"/>
      <c r="H53" s="110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</row>
    <row r="54">
      <c r="A54" s="113"/>
      <c r="B54" s="114"/>
      <c r="C54" s="114"/>
      <c r="D54" s="113"/>
      <c r="E54" s="114"/>
      <c r="F54" s="114"/>
      <c r="G54" s="114"/>
      <c r="H54" s="114"/>
      <c r="I54" s="113"/>
      <c r="J54" s="113"/>
      <c r="K54" s="113"/>
      <c r="L54" s="113"/>
      <c r="M54" s="108"/>
      <c r="N54" s="108"/>
      <c r="O54" s="108"/>
      <c r="P54" s="108"/>
      <c r="Q54" s="108"/>
      <c r="R54" s="108"/>
      <c r="S54" s="108"/>
      <c r="T54" s="108"/>
    </row>
    <row r="55">
      <c r="A55" s="108"/>
      <c r="B55" s="110"/>
      <c r="C55" s="110"/>
      <c r="D55" s="108"/>
      <c r="E55" s="110"/>
      <c r="F55" s="110"/>
      <c r="G55" s="110"/>
      <c r="H55" s="110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</row>
    <row r="56">
      <c r="A56" s="113"/>
      <c r="B56" s="114"/>
      <c r="C56" s="114"/>
      <c r="D56" s="113"/>
      <c r="E56" s="114"/>
      <c r="F56" s="114"/>
      <c r="G56" s="114"/>
      <c r="H56" s="114"/>
      <c r="I56" s="113"/>
      <c r="J56" s="113"/>
      <c r="K56" s="113"/>
      <c r="L56" s="113"/>
      <c r="M56" s="108"/>
      <c r="N56" s="108"/>
      <c r="O56" s="108"/>
      <c r="P56" s="108"/>
      <c r="Q56" s="108"/>
      <c r="R56" s="108"/>
      <c r="S56" s="108"/>
      <c r="T56" s="108"/>
    </row>
    <row r="57">
      <c r="A57" s="108"/>
      <c r="B57" s="110"/>
      <c r="C57" s="110"/>
      <c r="D57" s="108"/>
      <c r="E57" s="110"/>
      <c r="F57" s="110"/>
      <c r="G57" s="110"/>
      <c r="H57" s="110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</row>
    <row r="58">
      <c r="A58" s="113"/>
      <c r="B58" s="114"/>
      <c r="C58" s="114"/>
      <c r="D58" s="113"/>
      <c r="E58" s="114"/>
      <c r="F58" s="114"/>
      <c r="G58" s="114"/>
      <c r="H58" s="114"/>
      <c r="I58" s="113"/>
      <c r="J58" s="113"/>
      <c r="K58" s="113"/>
      <c r="L58" s="113"/>
      <c r="M58" s="108"/>
      <c r="N58" s="108"/>
      <c r="O58" s="108"/>
      <c r="P58" s="108"/>
      <c r="Q58" s="108"/>
      <c r="R58" s="108"/>
      <c r="S58" s="108"/>
      <c r="T58" s="108"/>
    </row>
    <row r="59">
      <c r="A59" s="108"/>
      <c r="B59" s="110"/>
      <c r="C59" s="110"/>
      <c r="D59" s="108"/>
      <c r="E59" s="110"/>
      <c r="F59" s="110"/>
      <c r="G59" s="110"/>
      <c r="H59" s="110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</row>
    <row r="60">
      <c r="A60" s="113"/>
      <c r="B60" s="114"/>
      <c r="C60" s="114"/>
      <c r="D60" s="113"/>
      <c r="E60" s="114"/>
      <c r="F60" s="114"/>
      <c r="G60" s="114"/>
      <c r="H60" s="114"/>
      <c r="I60" s="113"/>
      <c r="J60" s="113"/>
      <c r="K60" s="113"/>
      <c r="L60" s="113"/>
      <c r="M60" s="108"/>
      <c r="N60" s="108"/>
      <c r="O60" s="108"/>
      <c r="P60" s="108"/>
      <c r="Q60" s="108"/>
      <c r="R60" s="108"/>
      <c r="S60" s="108"/>
      <c r="T60" s="108"/>
    </row>
    <row r="61">
      <c r="A61" s="108"/>
      <c r="B61" s="110"/>
      <c r="C61" s="110"/>
      <c r="D61" s="108"/>
      <c r="E61" s="110"/>
      <c r="F61" s="110"/>
      <c r="G61" s="110"/>
      <c r="H61" s="110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</row>
    <row r="62">
      <c r="A62" s="113"/>
      <c r="B62" s="114"/>
      <c r="C62" s="114"/>
      <c r="D62" s="113"/>
      <c r="E62" s="114"/>
      <c r="F62" s="114"/>
      <c r="G62" s="114"/>
      <c r="H62" s="114"/>
      <c r="I62" s="113"/>
      <c r="J62" s="113"/>
      <c r="K62" s="113"/>
      <c r="L62" s="113"/>
      <c r="M62" s="108"/>
      <c r="N62" s="108"/>
      <c r="O62" s="108"/>
      <c r="P62" s="108"/>
      <c r="Q62" s="108"/>
      <c r="R62" s="108"/>
      <c r="S62" s="108"/>
      <c r="T62" s="108"/>
    </row>
    <row r="63">
      <c r="A63" s="108"/>
      <c r="B63" s="110"/>
      <c r="C63" s="110"/>
      <c r="D63" s="108"/>
      <c r="E63" s="110"/>
      <c r="F63" s="110"/>
      <c r="G63" s="110"/>
      <c r="H63" s="110"/>
      <c r="I63" s="108"/>
      <c r="J63" s="108"/>
      <c r="K63" s="108"/>
      <c r="L63" s="108"/>
      <c r="M63" s="108"/>
      <c r="N63" s="108"/>
      <c r="O63" s="108"/>
      <c r="P63" s="108"/>
      <c r="Q63" s="108"/>
      <c r="R63" s="108"/>
      <c r="S63" s="108"/>
      <c r="T63" s="108"/>
    </row>
    <row r="64">
      <c r="A64" s="113"/>
      <c r="B64" s="114"/>
      <c r="C64" s="114"/>
      <c r="D64" s="113"/>
      <c r="E64" s="114"/>
      <c r="F64" s="114"/>
      <c r="G64" s="114"/>
      <c r="H64" s="114"/>
      <c r="I64" s="113"/>
      <c r="J64" s="113"/>
      <c r="K64" s="113"/>
      <c r="L64" s="113"/>
      <c r="M64" s="108"/>
      <c r="N64" s="108"/>
      <c r="O64" s="108"/>
      <c r="P64" s="108"/>
      <c r="Q64" s="108"/>
      <c r="R64" s="108"/>
      <c r="S64" s="108"/>
      <c r="T64" s="108"/>
    </row>
    <row r="65">
      <c r="A65" s="108"/>
      <c r="B65" s="110"/>
      <c r="C65" s="110"/>
      <c r="D65" s="108"/>
      <c r="E65" s="110"/>
      <c r="F65" s="110"/>
      <c r="G65" s="110"/>
      <c r="H65" s="110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  <c r="T65" s="108"/>
    </row>
    <row r="66">
      <c r="A66" s="113"/>
      <c r="B66" s="114"/>
      <c r="C66" s="114"/>
      <c r="D66" s="113"/>
      <c r="E66" s="114"/>
      <c r="F66" s="114"/>
      <c r="G66" s="114"/>
      <c r="H66" s="114"/>
      <c r="I66" s="113"/>
      <c r="J66" s="113"/>
      <c r="K66" s="113"/>
      <c r="L66" s="113"/>
      <c r="M66" s="108"/>
      <c r="N66" s="108"/>
      <c r="O66" s="108"/>
      <c r="P66" s="108"/>
      <c r="Q66" s="108"/>
      <c r="R66" s="108"/>
      <c r="S66" s="108"/>
      <c r="T66" s="108"/>
    </row>
    <row r="67">
      <c r="A67" s="108"/>
      <c r="B67" s="110"/>
      <c r="C67" s="110"/>
      <c r="D67" s="108"/>
      <c r="E67" s="110"/>
      <c r="F67" s="110"/>
      <c r="G67" s="110"/>
      <c r="H67" s="110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  <c r="T67" s="108"/>
    </row>
    <row r="68">
      <c r="A68" s="113"/>
      <c r="B68" s="114"/>
      <c r="C68" s="114"/>
      <c r="D68" s="113"/>
      <c r="E68" s="114"/>
      <c r="F68" s="114"/>
      <c r="G68" s="114"/>
      <c r="H68" s="114"/>
      <c r="I68" s="113"/>
      <c r="J68" s="113"/>
      <c r="K68" s="113"/>
      <c r="L68" s="113"/>
      <c r="M68" s="108"/>
      <c r="N68" s="108"/>
      <c r="O68" s="108"/>
      <c r="P68" s="108"/>
      <c r="Q68" s="108"/>
      <c r="R68" s="108"/>
      <c r="S68" s="108"/>
      <c r="T68" s="108"/>
    </row>
    <row r="69">
      <c r="A69" s="108"/>
      <c r="B69" s="110"/>
      <c r="C69" s="110"/>
      <c r="D69" s="108"/>
      <c r="E69" s="110"/>
      <c r="F69" s="110"/>
      <c r="G69" s="110"/>
      <c r="H69" s="110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  <c r="T69" s="108"/>
    </row>
    <row r="70">
      <c r="A70" s="113"/>
      <c r="B70" s="114"/>
      <c r="C70" s="114"/>
      <c r="D70" s="113"/>
      <c r="E70" s="114"/>
      <c r="F70" s="114"/>
      <c r="G70" s="114"/>
      <c r="H70" s="114"/>
      <c r="I70" s="113"/>
      <c r="J70" s="113"/>
      <c r="K70" s="113"/>
      <c r="L70" s="113"/>
      <c r="M70" s="108"/>
      <c r="N70" s="108"/>
      <c r="O70" s="108"/>
      <c r="P70" s="108"/>
      <c r="Q70" s="108"/>
      <c r="R70" s="108"/>
      <c r="S70" s="108"/>
      <c r="T70" s="108"/>
    </row>
    <row r="71">
      <c r="A71" s="108"/>
      <c r="B71" s="110"/>
      <c r="C71" s="110"/>
      <c r="D71" s="108"/>
      <c r="E71" s="110"/>
      <c r="F71" s="110"/>
      <c r="G71" s="110"/>
      <c r="H71" s="110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  <c r="T71" s="108"/>
    </row>
    <row r="72">
      <c r="A72" s="113"/>
      <c r="B72" s="114"/>
      <c r="C72" s="114"/>
      <c r="D72" s="113"/>
      <c r="E72" s="114"/>
      <c r="F72" s="114"/>
      <c r="G72" s="114"/>
      <c r="H72" s="114"/>
      <c r="I72" s="113"/>
      <c r="J72" s="113"/>
      <c r="K72" s="113"/>
      <c r="L72" s="113"/>
      <c r="M72" s="108"/>
      <c r="N72" s="108"/>
      <c r="O72" s="108"/>
      <c r="P72" s="108"/>
      <c r="Q72" s="108"/>
      <c r="R72" s="108"/>
      <c r="S72" s="108"/>
      <c r="T72" s="108"/>
    </row>
    <row r="73">
      <c r="A73" s="108"/>
      <c r="B73" s="110"/>
      <c r="C73" s="110"/>
      <c r="D73" s="108"/>
      <c r="E73" s="110"/>
      <c r="F73" s="110"/>
      <c r="G73" s="110"/>
      <c r="H73" s="110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  <c r="T73" s="108"/>
    </row>
    <row r="74">
      <c r="A74" s="113"/>
      <c r="B74" s="114"/>
      <c r="C74" s="114"/>
      <c r="D74" s="113"/>
      <c r="E74" s="114"/>
      <c r="F74" s="114"/>
      <c r="G74" s="114"/>
      <c r="H74" s="114"/>
      <c r="I74" s="113"/>
      <c r="J74" s="113"/>
      <c r="K74" s="113"/>
      <c r="L74" s="113"/>
      <c r="M74" s="108"/>
      <c r="N74" s="108"/>
      <c r="O74" s="108"/>
      <c r="P74" s="108"/>
      <c r="Q74" s="108"/>
      <c r="R74" s="108"/>
      <c r="S74" s="108"/>
      <c r="T74" s="108"/>
    </row>
    <row r="75">
      <c r="A75" s="108"/>
      <c r="B75" s="110"/>
      <c r="C75" s="110"/>
      <c r="D75" s="108"/>
      <c r="E75" s="110"/>
      <c r="F75" s="110"/>
      <c r="G75" s="110"/>
      <c r="H75" s="110"/>
      <c r="I75" s="108"/>
      <c r="J75" s="108"/>
      <c r="K75" s="108"/>
      <c r="L75" s="108"/>
      <c r="M75" s="108"/>
      <c r="N75" s="108"/>
      <c r="O75" s="108"/>
      <c r="P75" s="108"/>
      <c r="Q75" s="108"/>
      <c r="R75" s="108"/>
      <c r="S75" s="108"/>
      <c r="T75" s="108"/>
    </row>
    <row r="76">
      <c r="A76" s="113"/>
      <c r="B76" s="114"/>
      <c r="C76" s="114"/>
      <c r="D76" s="113"/>
      <c r="E76" s="114"/>
      <c r="F76" s="114"/>
      <c r="G76" s="114"/>
      <c r="H76" s="114"/>
      <c r="I76" s="113"/>
      <c r="J76" s="113"/>
      <c r="K76" s="113"/>
      <c r="L76" s="113"/>
      <c r="M76" s="108"/>
      <c r="N76" s="108"/>
      <c r="O76" s="108"/>
      <c r="P76" s="108"/>
      <c r="Q76" s="108"/>
      <c r="R76" s="108"/>
      <c r="S76" s="108"/>
      <c r="T76" s="108"/>
    </row>
    <row r="77">
      <c r="A77" s="108"/>
      <c r="B77" s="110"/>
      <c r="C77" s="110"/>
      <c r="D77" s="108"/>
      <c r="E77" s="110"/>
      <c r="F77" s="110"/>
      <c r="G77" s="110"/>
      <c r="H77" s="110"/>
      <c r="I77" s="108"/>
      <c r="J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</row>
    <row r="78">
      <c r="A78" s="113"/>
      <c r="B78" s="114"/>
      <c r="C78" s="114"/>
      <c r="D78" s="113"/>
      <c r="E78" s="114"/>
      <c r="F78" s="114"/>
      <c r="G78" s="114"/>
      <c r="H78" s="114"/>
      <c r="I78" s="113"/>
      <c r="J78" s="113"/>
      <c r="K78" s="113"/>
      <c r="L78" s="113"/>
      <c r="M78" s="108"/>
      <c r="N78" s="108"/>
      <c r="O78" s="108"/>
      <c r="P78" s="108"/>
      <c r="Q78" s="108"/>
      <c r="R78" s="108"/>
      <c r="S78" s="108"/>
      <c r="T78" s="108"/>
    </row>
    <row r="79">
      <c r="A79" s="108"/>
      <c r="B79" s="110"/>
      <c r="C79" s="110"/>
      <c r="D79" s="108"/>
      <c r="E79" s="110"/>
      <c r="F79" s="110"/>
      <c r="G79" s="110"/>
      <c r="H79" s="110"/>
      <c r="I79" s="108"/>
      <c r="J79" s="108"/>
      <c r="K79" s="108"/>
      <c r="L79" s="108"/>
      <c r="M79" s="108"/>
      <c r="N79" s="108"/>
      <c r="O79" s="108"/>
      <c r="P79" s="108"/>
      <c r="Q79" s="108"/>
      <c r="R79" s="108"/>
      <c r="S79" s="108"/>
      <c r="T79" s="108"/>
    </row>
    <row r="80">
      <c r="A80" s="113"/>
      <c r="B80" s="114"/>
      <c r="C80" s="114"/>
      <c r="D80" s="113"/>
      <c r="E80" s="114"/>
      <c r="F80" s="114"/>
      <c r="G80" s="114"/>
      <c r="H80" s="114"/>
      <c r="I80" s="113"/>
      <c r="J80" s="113"/>
      <c r="K80" s="113"/>
      <c r="L80" s="113"/>
      <c r="M80" s="108"/>
      <c r="N80" s="108"/>
      <c r="O80" s="108"/>
      <c r="P80" s="108"/>
      <c r="Q80" s="108"/>
      <c r="R80" s="108"/>
      <c r="S80" s="108"/>
      <c r="T80" s="108"/>
    </row>
    <row r="81">
      <c r="A81" s="108"/>
      <c r="B81" s="110"/>
      <c r="C81" s="110"/>
      <c r="D81" s="108"/>
      <c r="E81" s="110"/>
      <c r="F81" s="110"/>
      <c r="G81" s="110"/>
      <c r="H81" s="110"/>
      <c r="I81" s="108"/>
      <c r="J81" s="108"/>
      <c r="K81" s="108"/>
      <c r="L81" s="108"/>
      <c r="M81" s="108"/>
      <c r="N81" s="108"/>
      <c r="O81" s="108"/>
      <c r="P81" s="108"/>
      <c r="Q81" s="108"/>
      <c r="R81" s="108"/>
      <c r="S81" s="108"/>
      <c r="T81" s="108"/>
    </row>
    <row r="82">
      <c r="A82" s="113"/>
      <c r="B82" s="114"/>
      <c r="C82" s="114"/>
      <c r="D82" s="113"/>
      <c r="E82" s="114"/>
      <c r="F82" s="114"/>
      <c r="G82" s="114"/>
      <c r="H82" s="114"/>
      <c r="I82" s="113"/>
      <c r="J82" s="113"/>
      <c r="K82" s="113"/>
      <c r="L82" s="113"/>
      <c r="M82" s="108"/>
      <c r="N82" s="108"/>
      <c r="O82" s="108"/>
      <c r="P82" s="108"/>
      <c r="Q82" s="108"/>
      <c r="R82" s="108"/>
      <c r="S82" s="108"/>
      <c r="T82" s="108"/>
    </row>
    <row r="83">
      <c r="A83" s="108"/>
      <c r="B83" s="110"/>
      <c r="C83" s="110"/>
      <c r="D83" s="108"/>
      <c r="E83" s="110"/>
      <c r="F83" s="110"/>
      <c r="G83" s="110"/>
      <c r="H83" s="110"/>
      <c r="I83" s="108"/>
      <c r="J83" s="108"/>
      <c r="K83" s="108"/>
      <c r="L83" s="108"/>
      <c r="M83" s="108"/>
      <c r="N83" s="108"/>
      <c r="O83" s="108"/>
      <c r="P83" s="108"/>
      <c r="Q83" s="108"/>
      <c r="R83" s="108"/>
      <c r="S83" s="108"/>
      <c r="T83" s="108"/>
    </row>
    <row r="84">
      <c r="A84" s="113"/>
      <c r="B84" s="114"/>
      <c r="C84" s="114"/>
      <c r="D84" s="113"/>
      <c r="E84" s="114"/>
      <c r="F84" s="114"/>
      <c r="G84" s="114"/>
      <c r="H84" s="114"/>
      <c r="I84" s="113"/>
      <c r="J84" s="113"/>
      <c r="K84" s="113"/>
      <c r="L84" s="113"/>
      <c r="M84" s="108"/>
      <c r="N84" s="108"/>
      <c r="O84" s="108"/>
      <c r="P84" s="108"/>
      <c r="Q84" s="108"/>
      <c r="R84" s="108"/>
      <c r="S84" s="108"/>
      <c r="T84" s="108"/>
    </row>
    <row r="85">
      <c r="A85" s="108"/>
      <c r="B85" s="110"/>
      <c r="C85" s="110"/>
      <c r="D85" s="108"/>
      <c r="E85" s="110"/>
      <c r="F85" s="110"/>
      <c r="G85" s="110"/>
      <c r="H85" s="110"/>
      <c r="I85" s="108"/>
      <c r="J85" s="108"/>
      <c r="K85" s="108"/>
      <c r="L85" s="108"/>
      <c r="M85" s="108"/>
      <c r="N85" s="108"/>
      <c r="O85" s="108"/>
      <c r="P85" s="108"/>
      <c r="Q85" s="108"/>
      <c r="R85" s="108"/>
      <c r="S85" s="108"/>
      <c r="T85" s="108"/>
    </row>
    <row r="86">
      <c r="A86" s="113"/>
      <c r="B86" s="114"/>
      <c r="C86" s="114"/>
      <c r="D86" s="113"/>
      <c r="E86" s="114"/>
      <c r="F86" s="114"/>
      <c r="G86" s="114"/>
      <c r="H86" s="114"/>
      <c r="I86" s="113"/>
      <c r="J86" s="113"/>
      <c r="K86" s="113"/>
      <c r="L86" s="113"/>
      <c r="M86" s="108"/>
      <c r="N86" s="108"/>
      <c r="O86" s="108"/>
      <c r="P86" s="108"/>
      <c r="Q86" s="108"/>
      <c r="R86" s="108"/>
      <c r="S86" s="108"/>
      <c r="T86" s="108"/>
    </row>
    <row r="87">
      <c r="A87" s="108"/>
      <c r="B87" s="110"/>
      <c r="C87" s="110"/>
      <c r="D87" s="108"/>
      <c r="E87" s="110"/>
      <c r="F87" s="110"/>
      <c r="G87" s="110"/>
      <c r="H87" s="110"/>
      <c r="I87" s="108"/>
      <c r="J87" s="108"/>
      <c r="K87" s="108"/>
      <c r="L87" s="108"/>
      <c r="M87" s="108"/>
      <c r="N87" s="108"/>
      <c r="O87" s="108"/>
      <c r="P87" s="108"/>
      <c r="Q87" s="108"/>
      <c r="R87" s="108"/>
      <c r="S87" s="108"/>
      <c r="T87" s="108"/>
    </row>
    <row r="88">
      <c r="A88" s="113"/>
      <c r="B88" s="114"/>
      <c r="C88" s="114"/>
      <c r="D88" s="113"/>
      <c r="E88" s="114"/>
      <c r="F88" s="114"/>
      <c r="G88" s="114"/>
      <c r="H88" s="114"/>
      <c r="I88" s="113"/>
      <c r="J88" s="113"/>
      <c r="K88" s="113"/>
      <c r="L88" s="113"/>
      <c r="M88" s="108"/>
      <c r="N88" s="108"/>
      <c r="O88" s="108"/>
      <c r="P88" s="108"/>
      <c r="Q88" s="108"/>
      <c r="R88" s="108"/>
      <c r="S88" s="108"/>
      <c r="T88" s="108"/>
    </row>
    <row r="89">
      <c r="A89" s="108"/>
      <c r="B89" s="110"/>
      <c r="C89" s="110"/>
      <c r="D89" s="108"/>
      <c r="E89" s="110"/>
      <c r="F89" s="110"/>
      <c r="G89" s="110"/>
      <c r="H89" s="110"/>
      <c r="I89" s="108"/>
      <c r="J89" s="108"/>
      <c r="K89" s="108"/>
      <c r="L89" s="108"/>
      <c r="M89" s="108"/>
      <c r="N89" s="108"/>
      <c r="O89" s="108"/>
      <c r="P89" s="108"/>
      <c r="Q89" s="108"/>
      <c r="R89" s="108"/>
      <c r="S89" s="108"/>
      <c r="T89" s="108"/>
    </row>
    <row r="90">
      <c r="A90" s="113"/>
      <c r="B90" s="114"/>
      <c r="C90" s="114"/>
      <c r="D90" s="113"/>
      <c r="E90" s="114"/>
      <c r="F90" s="114"/>
      <c r="G90" s="114"/>
      <c r="H90" s="114"/>
      <c r="I90" s="113"/>
      <c r="J90" s="113"/>
      <c r="K90" s="113"/>
      <c r="L90" s="113"/>
      <c r="M90" s="108"/>
      <c r="N90" s="108"/>
      <c r="O90" s="108"/>
      <c r="P90" s="108"/>
      <c r="Q90" s="108"/>
      <c r="R90" s="108"/>
      <c r="S90" s="108"/>
      <c r="T90" s="108"/>
    </row>
    <row r="91">
      <c r="A91" s="108"/>
      <c r="B91" s="110"/>
      <c r="C91" s="110"/>
      <c r="D91" s="108"/>
      <c r="E91" s="110"/>
      <c r="F91" s="110"/>
      <c r="G91" s="110"/>
      <c r="H91" s="110"/>
      <c r="I91" s="108"/>
      <c r="J91" s="108"/>
      <c r="K91" s="108"/>
      <c r="L91" s="108"/>
      <c r="M91" s="108"/>
      <c r="N91" s="108"/>
      <c r="O91" s="108"/>
      <c r="P91" s="108"/>
      <c r="Q91" s="108"/>
      <c r="R91" s="108"/>
      <c r="S91" s="108"/>
      <c r="T91" s="108"/>
    </row>
    <row r="92">
      <c r="A92" s="113"/>
      <c r="B92" s="114"/>
      <c r="C92" s="114"/>
      <c r="D92" s="113"/>
      <c r="E92" s="114"/>
      <c r="F92" s="114"/>
      <c r="G92" s="114"/>
      <c r="H92" s="114"/>
      <c r="I92" s="113"/>
      <c r="J92" s="113"/>
      <c r="K92" s="113"/>
      <c r="L92" s="113"/>
      <c r="M92" s="108"/>
      <c r="N92" s="108"/>
      <c r="O92" s="108"/>
      <c r="P92" s="108"/>
      <c r="Q92" s="108"/>
      <c r="R92" s="108"/>
      <c r="S92" s="108"/>
      <c r="T92" s="108"/>
    </row>
    <row r="93">
      <c r="A93" s="108"/>
      <c r="B93" s="110"/>
      <c r="C93" s="110"/>
      <c r="D93" s="108"/>
      <c r="E93" s="110"/>
      <c r="F93" s="110"/>
      <c r="G93" s="110"/>
      <c r="H93" s="110"/>
      <c r="I93" s="108"/>
      <c r="J93" s="108"/>
      <c r="K93" s="108"/>
      <c r="L93" s="108"/>
      <c r="M93" s="108"/>
      <c r="N93" s="108"/>
      <c r="O93" s="108"/>
      <c r="P93" s="108"/>
      <c r="Q93" s="108"/>
      <c r="R93" s="108"/>
      <c r="S93" s="108"/>
      <c r="T93" s="108"/>
    </row>
    <row r="94">
      <c r="A94" s="113"/>
      <c r="B94" s="114"/>
      <c r="C94" s="114"/>
      <c r="D94" s="113"/>
      <c r="E94" s="114"/>
      <c r="F94" s="114"/>
      <c r="G94" s="114"/>
      <c r="H94" s="114"/>
      <c r="I94" s="113"/>
      <c r="J94" s="113"/>
      <c r="K94" s="113"/>
      <c r="L94" s="113"/>
      <c r="M94" s="108"/>
      <c r="N94" s="108"/>
      <c r="O94" s="108"/>
      <c r="P94" s="108"/>
      <c r="Q94" s="108"/>
      <c r="R94" s="108"/>
      <c r="S94" s="108"/>
      <c r="T94" s="108"/>
    </row>
    <row r="95">
      <c r="A95" s="108"/>
      <c r="B95" s="110"/>
      <c r="C95" s="110"/>
      <c r="D95" s="108"/>
      <c r="E95" s="110"/>
      <c r="F95" s="110"/>
      <c r="G95" s="110"/>
      <c r="H95" s="110"/>
      <c r="I95" s="108"/>
      <c r="J95" s="108"/>
      <c r="K95" s="108"/>
      <c r="L95" s="108"/>
      <c r="M95" s="108"/>
      <c r="N95" s="108"/>
      <c r="O95" s="108"/>
      <c r="P95" s="108"/>
      <c r="Q95" s="108"/>
      <c r="R95" s="108"/>
      <c r="S95" s="108"/>
      <c r="T95" s="108"/>
    </row>
    <row r="96">
      <c r="A96" s="113"/>
      <c r="B96" s="114"/>
      <c r="C96" s="114"/>
      <c r="D96" s="113"/>
      <c r="E96" s="114"/>
      <c r="F96" s="114"/>
      <c r="G96" s="114"/>
      <c r="H96" s="114"/>
      <c r="I96" s="113"/>
      <c r="J96" s="113"/>
      <c r="K96" s="113"/>
      <c r="L96" s="113"/>
      <c r="M96" s="108"/>
      <c r="N96" s="108"/>
      <c r="O96" s="108"/>
      <c r="P96" s="108"/>
      <c r="Q96" s="108"/>
      <c r="R96" s="108"/>
      <c r="S96" s="108"/>
      <c r="T96" s="108"/>
    </row>
    <row r="97">
      <c r="A97" s="108"/>
      <c r="B97" s="110"/>
      <c r="C97" s="110"/>
      <c r="D97" s="108"/>
      <c r="E97" s="110"/>
      <c r="F97" s="110"/>
      <c r="G97" s="110"/>
      <c r="H97" s="110"/>
      <c r="I97" s="108"/>
      <c r="J97" s="108"/>
      <c r="K97" s="108"/>
      <c r="L97" s="108"/>
      <c r="M97" s="108"/>
      <c r="N97" s="108"/>
      <c r="O97" s="108"/>
      <c r="P97" s="108"/>
      <c r="Q97" s="108"/>
      <c r="R97" s="108"/>
      <c r="S97" s="108"/>
      <c r="T97" s="108"/>
    </row>
    <row r="98">
      <c r="A98" s="113"/>
      <c r="B98" s="114"/>
      <c r="C98" s="114"/>
      <c r="D98" s="113"/>
      <c r="E98" s="114"/>
      <c r="F98" s="114"/>
      <c r="G98" s="114"/>
      <c r="H98" s="114"/>
      <c r="I98" s="113"/>
      <c r="J98" s="113"/>
      <c r="K98" s="113"/>
      <c r="L98" s="113"/>
      <c r="M98" s="108"/>
      <c r="N98" s="108"/>
      <c r="O98" s="108"/>
      <c r="P98" s="108"/>
      <c r="Q98" s="108"/>
      <c r="R98" s="108"/>
      <c r="S98" s="108"/>
      <c r="T98" s="108"/>
    </row>
    <row r="99">
      <c r="A99" s="108"/>
      <c r="B99" s="110"/>
      <c r="C99" s="110"/>
      <c r="D99" s="108"/>
      <c r="E99" s="110"/>
      <c r="F99" s="110"/>
      <c r="G99" s="110"/>
      <c r="H99" s="110"/>
      <c r="I99" s="108"/>
      <c r="J99" s="108"/>
      <c r="K99" s="108"/>
      <c r="L99" s="108"/>
      <c r="M99" s="108"/>
      <c r="N99" s="108"/>
      <c r="O99" s="108"/>
      <c r="P99" s="108"/>
      <c r="Q99" s="108"/>
      <c r="R99" s="108"/>
      <c r="S99" s="108"/>
      <c r="T99" s="108"/>
    </row>
    <row r="100">
      <c r="A100" s="113"/>
      <c r="B100" s="114"/>
      <c r="C100" s="114"/>
      <c r="D100" s="113"/>
      <c r="E100" s="114"/>
      <c r="F100" s="114"/>
      <c r="G100" s="114"/>
      <c r="H100" s="114"/>
      <c r="I100" s="113"/>
      <c r="J100" s="113"/>
      <c r="K100" s="113"/>
      <c r="L100" s="113"/>
      <c r="M100" s="108"/>
      <c r="N100" s="108"/>
      <c r="O100" s="108"/>
      <c r="P100" s="108"/>
      <c r="Q100" s="108"/>
      <c r="R100" s="108"/>
      <c r="S100" s="108"/>
      <c r="T100" s="108"/>
    </row>
    <row r="101">
      <c r="A101" s="70"/>
      <c r="B101" s="117"/>
      <c r="C101" s="117"/>
      <c r="D101" s="70"/>
      <c r="E101" s="117"/>
      <c r="F101" s="117"/>
      <c r="G101" s="117"/>
      <c r="H101" s="117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</row>
    <row r="102">
      <c r="A102" s="118"/>
      <c r="B102" s="119"/>
      <c r="C102" s="119"/>
      <c r="D102" s="118"/>
      <c r="E102" s="119"/>
      <c r="F102" s="119"/>
      <c r="G102" s="119"/>
      <c r="H102" s="119"/>
      <c r="I102" s="118"/>
      <c r="J102" s="118"/>
      <c r="K102" s="118"/>
      <c r="L102" s="118"/>
      <c r="M102" s="70"/>
      <c r="N102" s="70"/>
      <c r="O102" s="70"/>
      <c r="P102" s="70"/>
      <c r="Q102" s="70"/>
      <c r="R102" s="70"/>
      <c r="S102" s="70"/>
      <c r="T102" s="70"/>
    </row>
    <row r="103">
      <c r="A103" s="70"/>
      <c r="B103" s="117"/>
      <c r="C103" s="117"/>
      <c r="D103" s="70"/>
      <c r="E103" s="117"/>
      <c r="F103" s="117"/>
      <c r="G103" s="117"/>
      <c r="H103" s="117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</row>
    <row r="104">
      <c r="A104" s="118"/>
      <c r="B104" s="119"/>
      <c r="C104" s="119"/>
      <c r="D104" s="118"/>
      <c r="E104" s="119"/>
      <c r="F104" s="119"/>
      <c r="G104" s="119"/>
      <c r="H104" s="119"/>
      <c r="I104" s="118"/>
      <c r="J104" s="118"/>
      <c r="K104" s="118"/>
      <c r="L104" s="118"/>
      <c r="M104" s="70"/>
      <c r="N104" s="70"/>
      <c r="O104" s="70"/>
      <c r="P104" s="70"/>
      <c r="Q104" s="70"/>
      <c r="R104" s="70"/>
      <c r="S104" s="70"/>
      <c r="T104" s="70"/>
    </row>
    <row r="105">
      <c r="A105" s="70"/>
      <c r="B105" s="117"/>
      <c r="C105" s="117"/>
      <c r="D105" s="70"/>
      <c r="E105" s="117"/>
      <c r="F105" s="117"/>
      <c r="G105" s="117"/>
      <c r="H105" s="117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</row>
    <row r="106">
      <c r="A106" s="118"/>
      <c r="B106" s="119"/>
      <c r="C106" s="119"/>
      <c r="D106" s="118"/>
      <c r="E106" s="119"/>
      <c r="F106" s="119"/>
      <c r="G106" s="119"/>
      <c r="H106" s="119"/>
      <c r="I106" s="118"/>
      <c r="J106" s="118"/>
      <c r="K106" s="118"/>
      <c r="L106" s="118"/>
      <c r="M106" s="70"/>
      <c r="N106" s="70"/>
      <c r="O106" s="70"/>
      <c r="P106" s="70"/>
      <c r="Q106" s="70"/>
      <c r="R106" s="70"/>
      <c r="S106" s="70"/>
      <c r="T106" s="70"/>
    </row>
    <row r="107">
      <c r="A107" s="70"/>
      <c r="B107" s="117"/>
      <c r="C107" s="117"/>
      <c r="D107" s="70"/>
      <c r="E107" s="117"/>
      <c r="F107" s="117"/>
      <c r="G107" s="117"/>
      <c r="H107" s="117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</row>
    <row r="108">
      <c r="A108" s="118"/>
      <c r="B108" s="119"/>
      <c r="C108" s="119"/>
      <c r="D108" s="118"/>
      <c r="E108" s="119"/>
      <c r="F108" s="119"/>
      <c r="G108" s="119"/>
      <c r="H108" s="119"/>
      <c r="I108" s="118"/>
      <c r="J108" s="118"/>
      <c r="K108" s="118"/>
      <c r="L108" s="118"/>
      <c r="M108" s="70"/>
      <c r="N108" s="70"/>
      <c r="O108" s="70"/>
      <c r="P108" s="70"/>
      <c r="Q108" s="70"/>
      <c r="R108" s="70"/>
      <c r="S108" s="70"/>
      <c r="T108" s="70"/>
    </row>
    <row r="109">
      <c r="A109" s="70"/>
      <c r="B109" s="117"/>
      <c r="C109" s="117"/>
      <c r="D109" s="70"/>
      <c r="E109" s="117"/>
      <c r="F109" s="117"/>
      <c r="G109" s="117"/>
      <c r="H109" s="117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</row>
    <row r="110">
      <c r="A110" s="118"/>
      <c r="B110" s="119"/>
      <c r="C110" s="119"/>
      <c r="D110" s="118"/>
      <c r="E110" s="119"/>
      <c r="F110" s="119"/>
      <c r="G110" s="119"/>
      <c r="H110" s="119"/>
      <c r="I110" s="118"/>
      <c r="J110" s="118"/>
      <c r="K110" s="118"/>
      <c r="L110" s="118"/>
      <c r="M110" s="70"/>
      <c r="N110" s="70"/>
      <c r="O110" s="70"/>
      <c r="P110" s="70"/>
      <c r="Q110" s="70"/>
      <c r="R110" s="70"/>
      <c r="S110" s="70"/>
      <c r="T110" s="70"/>
    </row>
    <row r="111">
      <c r="A111" s="70"/>
      <c r="B111" s="117"/>
      <c r="C111" s="117"/>
      <c r="D111" s="70"/>
      <c r="E111" s="117"/>
      <c r="F111" s="117"/>
      <c r="G111" s="117"/>
      <c r="H111" s="117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</row>
    <row r="112">
      <c r="A112" s="118"/>
      <c r="B112" s="119"/>
      <c r="C112" s="119"/>
      <c r="D112" s="118"/>
      <c r="E112" s="119"/>
      <c r="F112" s="119"/>
      <c r="G112" s="119"/>
      <c r="H112" s="119"/>
      <c r="I112" s="118"/>
      <c r="J112" s="118"/>
      <c r="K112" s="118"/>
      <c r="L112" s="118"/>
      <c r="M112" s="70"/>
      <c r="N112" s="70"/>
      <c r="O112" s="70"/>
      <c r="P112" s="70"/>
      <c r="Q112" s="70"/>
      <c r="R112" s="70"/>
      <c r="S112" s="70"/>
      <c r="T112" s="70"/>
    </row>
    <row r="113">
      <c r="A113" s="70"/>
      <c r="B113" s="117"/>
      <c r="C113" s="117"/>
      <c r="D113" s="70"/>
      <c r="E113" s="117"/>
      <c r="F113" s="117"/>
      <c r="G113" s="117"/>
      <c r="H113" s="117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</row>
    <row r="114">
      <c r="A114" s="118"/>
      <c r="B114" s="119"/>
      <c r="C114" s="119"/>
      <c r="D114" s="118"/>
      <c r="E114" s="119"/>
      <c r="F114" s="119"/>
      <c r="G114" s="119"/>
      <c r="H114" s="119"/>
      <c r="I114" s="118"/>
      <c r="J114" s="118"/>
      <c r="K114" s="118"/>
      <c r="L114" s="118"/>
      <c r="M114" s="70"/>
      <c r="N114" s="70"/>
      <c r="O114" s="70"/>
      <c r="P114" s="70"/>
      <c r="Q114" s="70"/>
      <c r="R114" s="70"/>
      <c r="S114" s="70"/>
      <c r="T114" s="70"/>
    </row>
    <row r="115">
      <c r="A115" s="70"/>
      <c r="B115" s="117"/>
      <c r="C115" s="117"/>
      <c r="D115" s="70"/>
      <c r="E115" s="117"/>
      <c r="F115" s="117"/>
      <c r="G115" s="117"/>
      <c r="H115" s="117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</row>
    <row r="116">
      <c r="A116" s="118"/>
      <c r="B116" s="119"/>
      <c r="C116" s="119"/>
      <c r="D116" s="118"/>
      <c r="E116" s="119"/>
      <c r="F116" s="119"/>
      <c r="G116" s="119"/>
      <c r="H116" s="119"/>
      <c r="I116" s="118"/>
      <c r="J116" s="118"/>
      <c r="K116" s="118"/>
      <c r="L116" s="118"/>
      <c r="M116" s="70"/>
      <c r="N116" s="70"/>
      <c r="O116" s="70"/>
      <c r="P116" s="70"/>
      <c r="Q116" s="70"/>
      <c r="R116" s="70"/>
      <c r="S116" s="70"/>
      <c r="T116" s="70"/>
    </row>
    <row r="117">
      <c r="A117" s="70"/>
      <c r="B117" s="117"/>
      <c r="C117" s="117"/>
      <c r="D117" s="70"/>
      <c r="E117" s="117"/>
      <c r="F117" s="117"/>
      <c r="G117" s="117"/>
      <c r="H117" s="117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</row>
    <row r="118">
      <c r="A118" s="118"/>
      <c r="B118" s="119"/>
      <c r="C118" s="119"/>
      <c r="D118" s="118"/>
      <c r="E118" s="119"/>
      <c r="F118" s="119"/>
      <c r="G118" s="119"/>
      <c r="H118" s="119"/>
      <c r="I118" s="118"/>
      <c r="J118" s="118"/>
      <c r="K118" s="118"/>
      <c r="L118" s="118"/>
      <c r="M118" s="70"/>
      <c r="N118" s="70"/>
      <c r="O118" s="70"/>
      <c r="P118" s="70"/>
      <c r="Q118" s="70"/>
      <c r="R118" s="70"/>
      <c r="S118" s="70"/>
      <c r="T118" s="70"/>
    </row>
    <row r="119">
      <c r="A119" s="70"/>
      <c r="B119" s="117"/>
      <c r="C119" s="117"/>
      <c r="D119" s="70"/>
      <c r="E119" s="117"/>
      <c r="F119" s="117"/>
      <c r="G119" s="117"/>
      <c r="H119" s="117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</row>
    <row r="120">
      <c r="A120" s="118"/>
      <c r="B120" s="119"/>
      <c r="C120" s="119"/>
      <c r="D120" s="118"/>
      <c r="E120" s="119"/>
      <c r="F120" s="119"/>
      <c r="G120" s="119"/>
      <c r="H120" s="119"/>
      <c r="I120" s="118"/>
      <c r="J120" s="118"/>
      <c r="K120" s="118"/>
      <c r="L120" s="118"/>
      <c r="M120" s="70"/>
      <c r="N120" s="70"/>
      <c r="O120" s="70"/>
      <c r="P120" s="70"/>
      <c r="Q120" s="70"/>
      <c r="R120" s="70"/>
      <c r="S120" s="70"/>
      <c r="T120" s="70"/>
    </row>
  </sheetData>
  <mergeCells count="11">
    <mergeCell ref="D3:F4"/>
    <mergeCell ref="G3:I4"/>
    <mergeCell ref="J3:L4"/>
    <mergeCell ref="A5:L6"/>
    <mergeCell ref="A1:L1"/>
    <mergeCell ref="A2:B2"/>
    <mergeCell ref="C2:D2"/>
    <mergeCell ref="E2:F2"/>
    <mergeCell ref="G2:H2"/>
    <mergeCell ref="I2:L2"/>
    <mergeCell ref="A3:C4"/>
  </mergeCells>
  <dataValidations>
    <dataValidation type="list" allowBlank="1" showErrorMessage="1" sqref="C2">
      <formula1>"保守,平衡,进攻"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" t="s">
        <v>26</v>
      </c>
      <c r="B1" s="2" t="s">
        <v>103</v>
      </c>
      <c r="C1" s="2" t="s">
        <v>141</v>
      </c>
      <c r="D1" s="2" t="s">
        <v>101</v>
      </c>
      <c r="E1" s="2" t="s">
        <v>65</v>
      </c>
      <c r="F1" s="2" t="s">
        <v>67</v>
      </c>
      <c r="G1" s="2" t="s">
        <v>142</v>
      </c>
      <c r="H1" s="2" t="s">
        <v>143</v>
      </c>
    </row>
    <row r="2">
      <c r="A2" s="95" t="str">
        <f>IFERROR(__xludf.DUMMYFUNCTION("FILTER(DailyClean!A2:A300,DailyClean!A2:A300&lt;&gt;"""")"),"#REF!")</f>
        <v>#REF!</v>
      </c>
      <c r="B2" s="95" t="str">
        <f>IFERROR(__xludf.DUMMYFUNCTION("FILTER(DailyClean!B2:B300,DailyClean!A2:A300&lt;&gt;"""")"),"#REF!")</f>
        <v>#REF!</v>
      </c>
      <c r="C2" s="95" t="str">
        <f>IFERROR(__xludf.DUMMYFUNCTION("FILTER(DailyClean!C2:C300,DailyClean!A2:A300&lt;&gt;"""")"),"#REF!")</f>
        <v>#REF!</v>
      </c>
      <c r="D2" s="95" t="str">
        <f>IFERROR(__xludf.DUMMYFUNCTION("FILTER(DailyClean!E2:E300,DailyClean!A2:A300&lt;&gt;"""")"),"#REF!")</f>
        <v>#REF!</v>
      </c>
      <c r="E2" s="95" t="str">
        <f>IFERROR(__xludf.DUMMYFUNCTION("FILTER(DailyClean!F2:F300,DailyClean!A2:A300&lt;&gt;"""")"),"#REF!")</f>
        <v>#REF!</v>
      </c>
      <c r="F2" s="95" t="str">
        <f>IFERROR(__xludf.DUMMYFUNCTION("FILTER(DailyClean!I2:I300,DailyClean!A2:A300&lt;&gt;"""")"),"#REF!")</f>
        <v>#REF!</v>
      </c>
      <c r="G2" s="95" t="str">
        <f>IFERROR(__xludf.DUMMYFUNCTION("FILTER(DailyClean!G2:G300,DailyClean!A2:A300&lt;&gt;"""")"),"#REF!")</f>
        <v>#REF!</v>
      </c>
      <c r="H2" s="95" t="str">
        <f>IFERROR(__xludf.DUMMYFUNCTION("FILTER(DailyClean!J2:J300,DailyClean!A2:A300&lt;&gt;"""")"),"#REF!")</f>
        <v>#REF!</v>
      </c>
    </row>
    <row r="3">
      <c r="B3" s="2">
        <v>5267.59</v>
      </c>
    </row>
    <row r="4">
      <c r="B4" s="2">
        <v>571.73</v>
      </c>
    </row>
    <row r="5">
      <c r="B5" s="2">
        <v>1491.44</v>
      </c>
    </row>
    <row r="6">
      <c r="B6" s="2">
        <v>3204.42</v>
      </c>
    </row>
    <row r="9">
      <c r="B9" s="2">
        <v>428.24</v>
      </c>
      <c r="C9" s="2">
        <v>1405.03</v>
      </c>
      <c r="D9" s="2">
        <v>3203.16</v>
      </c>
      <c r="E9" s="2">
        <v>5036.43</v>
      </c>
    </row>
    <row r="10">
      <c r="B10" s="2">
        <v>428.24</v>
      </c>
      <c r="C10" s="2">
        <v>1434.85</v>
      </c>
      <c r="D10" s="2">
        <v>3214.3</v>
      </c>
      <c r="E10" s="2">
        <v>5077.39</v>
      </c>
    </row>
    <row r="11">
      <c r="B11" s="2">
        <v>571.73</v>
      </c>
      <c r="C11" s="2">
        <v>1431.8</v>
      </c>
      <c r="D11" s="2">
        <v>3210.85</v>
      </c>
      <c r="E11" s="2">
        <v>5214.38</v>
      </c>
    </row>
    <row r="12">
      <c r="B12" s="2">
        <v>571.73</v>
      </c>
      <c r="C12" s="2">
        <v>1455.79</v>
      </c>
      <c r="D12" s="2">
        <v>3221.95</v>
      </c>
      <c r="E12" s="2">
        <v>5249.47</v>
      </c>
    </row>
    <row r="13">
      <c r="B13" s="2">
        <v>571.73</v>
      </c>
      <c r="C13" s="2">
        <v>1455.79</v>
      </c>
      <c r="D13" s="2">
        <v>3221.95</v>
      </c>
      <c r="E13" s="2">
        <v>5249.47</v>
      </c>
    </row>
    <row r="14">
      <c r="B14" s="2">
        <v>571.73</v>
      </c>
      <c r="C14" s="2">
        <v>1491.44</v>
      </c>
      <c r="D14" s="2">
        <v>3221.95</v>
      </c>
      <c r="E14" s="2">
        <v>5285.12</v>
      </c>
    </row>
    <row r="15">
      <c r="B15" s="2">
        <v>571.73</v>
      </c>
      <c r="C15" s="2">
        <v>1491.44</v>
      </c>
      <c r="D15" s="2">
        <v>3204.42</v>
      </c>
      <c r="E15" s="2">
        <v>5267.59</v>
      </c>
    </row>
  </sheetData>
  <drawing r:id="rId1"/>
</worksheet>
</file>